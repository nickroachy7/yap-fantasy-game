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Build Plan" sheetId="1" state="visible" r:id="rId1"/>
    <sheet name="Milestones" sheetId="2" state="visible" r:id="rId2"/>
    <sheet name="Deferred" sheetId="3" state="visible" r:id="rId3"/>
    <sheet name="Risks" sheetId="4" state="visible" r:id="rId4"/>
    <sheet name="Decisions" sheetId="5" state="visible" r:id="rId5"/>
  </sheets>
  <definedNames>
    <definedName name="_xlnm._FilterDatabase" localSheetId="0" hidden="1">'Build Plan'!$A$4:$J$39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dd\ mmm\ d"/>
    <numFmt numFmtId="165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A44"/>
      <sz val="14"/>
    </font>
    <font>
      <name val="Arial"/>
      <charset val="1"/>
      <family val="0"/>
      <i val="1"/>
      <color rgb="FF66708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475467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2A44"/>
      <sz val="11"/>
    </font>
    <font>
      <name val="Arial"/>
      <charset val="1"/>
      <family val="0"/>
      <b val="1"/>
      <color rgb="FFB42318"/>
      <sz val="10"/>
    </font>
    <font>
      <b val="1"/>
    </font>
  </fonts>
  <fills count="9">
    <fill>
      <patternFill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8EEF7"/>
        <bgColor rgb="FFEAECF0"/>
      </patternFill>
    </fill>
    <fill>
      <patternFill patternType="solid">
        <fgColor rgb="FFE6F4EA"/>
        <bgColor rgb="FFE8F7F7"/>
      </patternFill>
    </fill>
    <fill>
      <patternFill patternType="solid">
        <fgColor rgb="FFFFF4E5"/>
        <bgColor rgb="FFFDE8E8"/>
      </patternFill>
    </fill>
    <fill>
      <patternFill patternType="solid">
        <fgColor rgb="FFF3E8FD"/>
        <bgColor rgb="FFEAECF0"/>
      </patternFill>
    </fill>
    <fill>
      <patternFill patternType="solid">
        <fgColor rgb="FFFDE8E8"/>
        <bgColor rgb="FFF3E8FD"/>
      </patternFill>
    </fill>
    <fill>
      <patternFill patternType="solid">
        <fgColor rgb="FFE8F7F7"/>
        <bgColor rgb="FFE6F4EA"/>
      </patternFill>
    </fill>
  </fills>
  <borders count="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top"/>
    </xf>
    <xf numFmtId="0" fontId="7" fillId="3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general" vertical="top"/>
    </xf>
    <xf numFmtId="0" fontId="8" fillId="0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/>
    </xf>
    <xf numFmtId="0" fontId="9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/>
    </xf>
    <xf numFmtId="0" fontId="7" fillId="6" borderId="1" applyAlignment="1" pivotButton="0" quotePrefix="0" xfId="0">
      <alignment horizontal="general" vertical="top"/>
    </xf>
    <xf numFmtId="0" fontId="7" fillId="7" borderId="1" applyAlignment="1" pivotButton="0" quotePrefix="0" xfId="0">
      <alignment horizontal="general" vertical="top"/>
    </xf>
    <xf numFmtId="0" fontId="7" fillId="8" borderId="1" applyAlignment="1" pivotButton="0" quotePrefix="0" xfId="0">
      <alignment horizontal="general" vertical="top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top"/>
    </xf>
    <xf numFmtId="165" fontId="9" fillId="0" borderId="0" applyAlignment="1" pivotButton="0" quotePrefix="0" xfId="0">
      <alignment horizontal="center" vertical="top"/>
    </xf>
    <xf numFmtId="1" fontId="11" fillId="0" borderId="0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/>
    </xf>
    <xf numFmtId="0" fontId="9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12" fillId="0" borderId="0" pivotButton="0" quotePrefix="0" xfId="0"/>
    <xf numFmtId="0" fontId="7" fillId="0" borderId="1" applyAlignment="1" pivotButton="0" quotePrefix="0" xfId="0">
      <alignment horizontal="center" vertical="top"/>
    </xf>
    <xf numFmtId="0" fontId="7" fillId="3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general" vertical="top"/>
    </xf>
    <xf numFmtId="0" fontId="8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  <xf numFmtId="0" fontId="7" fillId="4" borderId="1" applyAlignment="1" pivotButton="0" quotePrefix="0" xfId="0">
      <alignment horizontal="general" vertical="top"/>
    </xf>
    <xf numFmtId="0" fontId="9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/>
    </xf>
    <xf numFmtId="0" fontId="7" fillId="6" borderId="1" applyAlignment="1" pivotButton="0" quotePrefix="0" xfId="0">
      <alignment horizontal="general" vertical="top"/>
    </xf>
    <xf numFmtId="0" fontId="7" fillId="7" borderId="1" applyAlignment="1" pivotButton="0" quotePrefix="0" xfId="0">
      <alignment horizontal="general" vertical="top"/>
    </xf>
    <xf numFmtId="0" fontId="7" fillId="8" borderId="1" applyAlignment="1" pivotButton="0" quotePrefix="0" xfId="0">
      <alignment horizontal="general" vertical="top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top"/>
    </xf>
    <xf numFmtId="165" fontId="9" fillId="0" borderId="0" applyAlignment="1" pivotButton="0" quotePrefix="0" xfId="0">
      <alignment horizontal="center" vertical="top"/>
    </xf>
    <xf numFmtId="1" fontId="11" fillId="0" borderId="0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/>
    </xf>
    <xf numFmtId="0" fontId="9" fillId="0" borderId="1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FF1F2A4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6F4EA"/>
          <bgColor rgb="FF000000"/>
        </patternFill>
      </fill>
    </dxf>
    <dxf>
      <fill>
        <patternFill patternType="solid">
          <fgColor rgb="FFE8EEF7"/>
          <bgColor rgb="FF000000"/>
        </patternFill>
      </fill>
    </dxf>
    <dxf>
      <fill>
        <patternFill patternType="solid">
          <fgColor rgb="FFE8F7F7"/>
          <bgColor rgb="FF000000"/>
        </patternFill>
      </fill>
    </dxf>
    <dxf>
      <fill>
        <patternFill patternType="solid">
          <fgColor rgb="FFF3E8FD"/>
          <bgColor rgb="FF000000"/>
        </patternFill>
      </fill>
    </dxf>
    <dxf>
      <fill>
        <patternFill patternType="solid">
          <fgColor rgb="FFFDE8E8"/>
          <bgColor rgb="FF000000"/>
        </patternFill>
      </fill>
    </dxf>
    <dxf>
      <fill>
        <patternFill patternType="solid">
          <fgColor rgb="FFFFF4E5"/>
          <bgColor rgb="FF000000"/>
        </patternFill>
      </fill>
    </dxf>
    <dxf>
      <fill>
        <patternFill patternType="solid">
          <fgColor rgb="FFB42318"/>
          <bgColor rgb="FF000000"/>
        </patternFill>
      </fill>
    </dxf>
    <dxf>
      <fill>
        <patternFill patternType="solid">
          <fgColor rgb="FF475467"/>
          <bgColor rgb="FF000000"/>
        </patternFill>
      </fill>
    </dxf>
    <dxf>
      <font>
        <name val="Arial"/>
        <charset val="1"/>
        <family val="0"/>
        <color rgb="FF10643A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color rgb="FF7F6000"/>
        <sz val="10"/>
      </font>
      <fill>
        <patternFill>
          <bgColor rgb="FFFFEB9C"/>
        </patternFill>
      </fill>
    </dxf>
    <dxf>
      <font>
        <name val="Arial"/>
        <charset val="1"/>
        <family val="0"/>
        <color rgb="FF98A2B3"/>
        <sz val="10"/>
      </font>
      <fill>
        <patternFill>
          <bgColor rgb="FFEAECF0"/>
        </patternFill>
      </fill>
    </dxf>
    <dxf>
      <font>
        <name val="Arial"/>
        <charset val="1"/>
        <family val="0"/>
        <b val="1"/>
        <color rgb="FFB42318"/>
        <sz val="10"/>
      </font>
    </dxf>
    <dxf>
      <font>
        <name val="Arial"/>
        <charset val="1"/>
        <family val="0"/>
        <color rgb="FF7F3300"/>
        <sz val="10"/>
      </font>
      <fill>
        <patternFill>
          <bgColor rgb="FFFFD9B3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10643A"/>
        <sz val="1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7F6000"/>
        <sz val="1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10643A"/>
      <rgbColor rgb="FF000080"/>
      <rgbColor rgb="FF7F6000"/>
      <rgbColor rgb="FF800080"/>
      <rgbColor rgb="FF008080"/>
      <rgbColor rgb="FFFFC7CE"/>
      <rgbColor rgb="FF808080"/>
      <rgbColor rgb="FFEAECF0"/>
      <rgbColor rgb="FFB42318"/>
      <rgbColor rgb="FFFFF4E5"/>
      <rgbColor rgb="FFE8F7F7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F4EA"/>
      <rgbColor rgb="FFC6EFCE"/>
      <rgbColor rgb="FFFFEB9C"/>
      <rgbColor rgb="FFE8EEF7"/>
      <rgbColor rgb="FFFDE8E8"/>
      <rgbColor rgb="FFF3E8FD"/>
      <rgbColor rgb="FFFFD9B3"/>
      <rgbColor rgb="FF3366FF"/>
      <rgbColor rgb="FF33CCCC"/>
      <rgbColor rgb="FF99CC00"/>
      <rgbColor rgb="FFFFCC00"/>
      <rgbColor rgb="FFFF9900"/>
      <rgbColor rgb="FFFF6600"/>
      <rgbColor rgb="FF667085"/>
      <rgbColor rgb="FF98A2B3"/>
      <rgbColor rgb="FF003366"/>
      <rgbColor rgb="FF339966"/>
      <rgbColor rgb="FF003300"/>
      <rgbColor rgb="FF333300"/>
      <rgbColor rgb="FF7F3300"/>
      <rgbColor rgb="FF993366"/>
      <rgbColor rgb="FF475467"/>
      <rgbColor rgb="FF1F2A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t">
  <a:themeElements>
    <a:clrScheme name="t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t">
      <a:majorFont>
        <a:latin typeface="Arial" pitchFamily="0" charset="1"/>
        <a:ea typeface=""/>
        <a:cs typeface=""/>
      </a:majorFont>
      <a:minorFont>
        <a:latin typeface="Arial" pitchFamily="0" charset="1"/>
        <a:ea typeface=""/>
        <a:cs typeface="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0"/>
        <a:ln w="0"/>
        <a:ln w="0"/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3" min="1" max="1"/>
    <col width="17" customWidth="1" style="23" min="2" max="2"/>
    <col width="56" customWidth="1" style="23" min="3" max="3"/>
    <col width="12" customWidth="1" style="23" min="4" max="5"/>
    <col width="7" customWidth="1" style="23" min="6" max="6"/>
    <col width="13" customWidth="1" style="23" min="7" max="7"/>
    <col width="12" customWidth="1" style="23" min="8" max="8"/>
    <col width="11" customWidth="1" style="23" min="9" max="9"/>
    <col width="62" customWidth="1" style="23" min="10" max="10"/>
    <col width="62" customWidth="1" style="24" min="11" max="11"/>
  </cols>
  <sheetData>
    <row r="1" ht="17.35" customHeight="1" s="24">
      <c r="A1" s="25" t="inlineStr">
        <is>
          <t>Yap Fantasy - Build Plan to Kickoff</t>
        </is>
      </c>
    </row>
    <row r="2" ht="15" customHeight="1" s="24">
      <c r="A2" s="26" t="inlineStr">
        <is>
          <t>Set Status on each row. Milestones tab counts update automatically.</t>
        </is>
      </c>
    </row>
    <row r="4" ht="15" customHeight="1" s="24">
      <c r="A4" s="27" t="inlineStr">
        <is>
          <t>ID</t>
        </is>
      </c>
      <c r="B4" s="27" t="inlineStr">
        <is>
          <t>Phase</t>
        </is>
      </c>
      <c r="C4" s="27" t="inlineStr">
        <is>
          <t>Task</t>
        </is>
      </c>
      <c r="D4" s="27" t="inlineStr">
        <is>
          <t>Start</t>
        </is>
      </c>
      <c r="E4" s="27" t="inlineStr">
        <is>
          <t>Due</t>
        </is>
      </c>
      <c r="F4" s="27" t="inlineStr">
        <is>
          <t>Days</t>
        </is>
      </c>
      <c r="G4" s="27" t="inlineStr">
        <is>
          <t>Status</t>
        </is>
      </c>
      <c r="H4" s="27" t="inlineStr">
        <is>
          <t>Depends On</t>
        </is>
      </c>
      <c r="I4" s="27" t="inlineStr">
        <is>
          <t>Cut Order</t>
        </is>
      </c>
      <c r="J4" s="27" t="inlineStr">
        <is>
          <t>Notes</t>
        </is>
      </c>
      <c r="K4" s="28" t="inlineStr">
        <is>
          <t>Evidence (verified 2026-08-19)</t>
        </is>
      </c>
    </row>
    <row r="5" ht="15" customHeight="1" s="24">
      <c r="A5" s="29" t="n">
        <v>1</v>
      </c>
      <c r="B5" s="30" t="inlineStr">
        <is>
          <t>P0 Foundations</t>
        </is>
      </c>
      <c r="C5" s="31" t="inlineStr">
        <is>
          <t>Enroll Apple Developer Program ($99/yr)</t>
        </is>
      </c>
      <c r="D5" s="32" t="n">
        <v>46252</v>
      </c>
      <c r="E5" s="32" t="n">
        <v>46252</v>
      </c>
      <c r="F5" s="29">
        <f>E5-D5+1</f>
        <v/>
      </c>
      <c r="G5" s="29" t="inlineStr">
        <is>
          <t>Not started</t>
        </is>
      </c>
      <c r="H5" s="33" t="n"/>
      <c r="I5" s="29" t="inlineStr">
        <is>
          <t>Blocker</t>
        </is>
      </c>
      <c r="J5" s="34" t="inlineStr">
        <is>
          <t>Takes 24-48h. Nothing reaches a device until it clears.</t>
        </is>
      </c>
      <c r="K5" s="35" t="inlineStr">
        <is>
          <t>No dev build or App Store Connect record exists. Still the gate on 6, 7, 28, 30.</t>
        </is>
      </c>
    </row>
    <row r="6" ht="23.85" customHeight="1" s="24">
      <c r="A6" s="29" t="n">
        <v>2</v>
      </c>
      <c r="B6" s="30" t="inlineStr">
        <is>
          <t>P0 Foundations</t>
        </is>
      </c>
      <c r="C6" s="31" t="inlineStr">
        <is>
          <t>Subscribe balldontlie NFL GOAT ($39.99/mo); store key in Supabase secrets</t>
        </is>
      </c>
      <c r="D6" s="32" t="n">
        <v>46252</v>
      </c>
      <c r="E6" s="32" t="n">
        <v>46252</v>
      </c>
      <c r="F6" s="29">
        <f>E6-D6+1</f>
        <v/>
      </c>
      <c r="G6" s="29" t="inlineStr">
        <is>
          <t>Done</t>
        </is>
      </c>
      <c r="H6" s="33" t="n"/>
      <c r="I6" s="29" t="inlineStr">
        <is>
          <t>Blocker</t>
        </is>
      </c>
      <c r="J6" s="34" t="inlineStr">
        <is>
          <t>600 req/min. Key lives in Edge Functions only.</t>
        </is>
      </c>
      <c r="K6" s="35" t="inlineStr">
        <is>
          <t>Key lives in Edge Function secrets only. Endpoint census verified 2026-08-18.</t>
        </is>
      </c>
    </row>
    <row r="7" ht="23.85" customHeight="1" s="24">
      <c r="A7" s="29" t="n">
        <v>3</v>
      </c>
      <c r="B7" s="30" t="inlineStr">
        <is>
          <t>P0 Foundations</t>
        </is>
      </c>
      <c r="C7" s="31" t="inlineStr">
        <is>
          <t>Scaffold Expo Router app (TypeScript, expo-router, reanimated, nativewind)</t>
        </is>
      </c>
      <c r="D7" s="32" t="n">
        <v>46252</v>
      </c>
      <c r="E7" s="32" t="n">
        <v>46253</v>
      </c>
      <c r="F7" s="29">
        <f>E7-D7+1</f>
        <v/>
      </c>
      <c r="G7" s="29" t="inlineStr">
        <is>
          <t>Done</t>
        </is>
      </c>
      <c r="H7" s="33" t="n"/>
      <c r="I7" s="29" t="inlineStr">
        <is>
          <t>Blocker</t>
        </is>
      </c>
      <c r="J7" s="34" t="inlineStr">
        <is>
          <t>Verify web AND iOS simulator both render on day one.</t>
        </is>
      </c>
      <c r="K7" s="35" t="inlineStr">
        <is>
          <t>Expo SDK 57 / RN 0.86 / React 19.2. Web and iOS simulator both render.</t>
        </is>
      </c>
    </row>
    <row r="8" ht="15" customHeight="1" s="24">
      <c r="A8" s="29" t="n">
        <v>4</v>
      </c>
      <c r="B8" s="30" t="inlineStr">
        <is>
          <t>P0 Foundations</t>
        </is>
      </c>
      <c r="C8" s="31" t="inlineStr">
        <is>
          <t>Supabase project + CLI linked + migrations workflow</t>
        </is>
      </c>
      <c r="D8" s="32" t="n">
        <v>46253</v>
      </c>
      <c r="E8" s="32" t="n">
        <v>46253</v>
      </c>
      <c r="F8" s="29">
        <f>E8-D8+1</f>
        <v/>
      </c>
      <c r="G8" s="29" t="inlineStr">
        <is>
          <t>Done</t>
        </is>
      </c>
      <c r="H8" s="33" t="inlineStr">
        <is>
          <t>2</t>
        </is>
      </c>
      <c r="I8" s="29" t="inlineStr">
        <is>
          <t>Blocker</t>
        </is>
      </c>
      <c r="J8" s="34" t="inlineStr">
        <is>
          <t>Every schema change is a migration file. No dashboard clicks.</t>
        </is>
      </c>
      <c r="K8" s="35" t="inlineStr">
        <is>
          <t>32 migrations applied in filename order; CLI linked to ref ygrmsleanavyewfbhlth.</t>
        </is>
      </c>
    </row>
    <row r="9" ht="15" customHeight="1" s="24">
      <c r="A9" s="29" t="n">
        <v>5</v>
      </c>
      <c r="B9" s="30" t="inlineStr">
        <is>
          <t>P0 Foundations</t>
        </is>
      </c>
      <c r="C9" s="31" t="inlineStr">
        <is>
          <t>Auth: Supabase email magic link</t>
        </is>
      </c>
      <c r="D9" s="32" t="n">
        <v>46253</v>
      </c>
      <c r="E9" s="32" t="n">
        <v>46254</v>
      </c>
      <c r="F9" s="29">
        <f>E9-D9+1</f>
        <v/>
      </c>
      <c r="G9" s="29" t="inlineStr">
        <is>
          <t>Done</t>
        </is>
      </c>
      <c r="H9" s="33" t="inlineStr">
        <is>
          <t>3, 4</t>
        </is>
      </c>
      <c r="I9" s="29" t="inlineStr">
        <is>
          <t>Blocker</t>
        </is>
      </c>
      <c r="J9" s="34" t="inlineStr">
        <is>
          <t>Magic link only = no Sign in with Apple needed. Google/X login would force it.</t>
        </is>
      </c>
      <c r="K9" s="35" t="inlineStr">
        <is>
          <t>Magic link primary. Email+password added 08-18 as a secondary path (does NOT trigger Sign in with Apple).</t>
        </is>
      </c>
    </row>
    <row r="10" ht="15" customHeight="1" s="24">
      <c r="A10" s="29" t="n">
        <v>6</v>
      </c>
      <c r="B10" s="30" t="inlineStr">
        <is>
          <t>P0 Foundations</t>
        </is>
      </c>
      <c r="C10" s="31" t="inlineStr">
        <is>
          <t>App Store Connect app record + bundle ID + app icon</t>
        </is>
      </c>
      <c r="D10" s="32" t="n">
        <v>46254</v>
      </c>
      <c r="E10" s="32" t="n">
        <v>46254</v>
      </c>
      <c r="F10" s="29">
        <f>E10-D10+1</f>
        <v/>
      </c>
      <c r="G10" s="29" t="inlineStr">
        <is>
          <t>Not started</t>
        </is>
      </c>
      <c r="H10" s="33" t="inlineStr">
        <is>
          <t>1</t>
        </is>
      </c>
      <c r="I10" s="29" t="inlineStr">
        <is>
          <t>Blocker</t>
        </is>
      </c>
      <c r="J10" s="34" t="inlineStr">
        <is>
          <t>Placeholder icon is fine, it just cannot be empty.</t>
        </is>
      </c>
      <c r="K10" s="35" t="inlineStr">
        <is>
          <t>Blocked on task 1.</t>
        </is>
      </c>
    </row>
    <row r="11" ht="15" customHeight="1" s="24">
      <c r="A11" s="29" t="n">
        <v>7</v>
      </c>
      <c r="B11" s="30" t="inlineStr">
        <is>
          <t>P0 Foundations</t>
        </is>
      </c>
      <c r="C11" s="31" t="inlineStr">
        <is>
          <t>First EAS dev build installed on your own iPhone</t>
        </is>
      </c>
      <c r="D11" s="32" t="n">
        <v>46254</v>
      </c>
      <c r="E11" s="32" t="n">
        <v>46255</v>
      </c>
      <c r="F11" s="29">
        <f>E11-D11+1</f>
        <v/>
      </c>
      <c r="G11" s="29" t="inlineStr">
        <is>
          <t>Not started</t>
        </is>
      </c>
      <c r="H11" s="33" t="inlineStr">
        <is>
          <t>3, 6</t>
        </is>
      </c>
      <c r="I11" s="29" t="inlineStr">
        <is>
          <t>Blocker</t>
        </is>
      </c>
      <c r="J11" s="34" t="inlineStr">
        <is>
          <t>Signing/provisioning eats 2-3 days. Lose them now, not in September.</t>
        </is>
      </c>
      <c r="K11" s="35" t="inlineStr">
        <is>
          <t>Blocked on task 1.</t>
        </is>
      </c>
    </row>
    <row r="12" ht="15" customHeight="1" s="24">
      <c r="A12" s="29" t="n">
        <v>8</v>
      </c>
      <c r="B12" s="30" t="inlineStr">
        <is>
          <t>P0 Foundations</t>
        </is>
      </c>
      <c r="C12" s="31" t="inlineStr">
        <is>
          <t>Deploy web build to Vercel/Cloudflare + auto-deploy on push</t>
        </is>
      </c>
      <c r="D12" s="32" t="n">
        <v>46255</v>
      </c>
      <c r="E12" s="32" t="n">
        <v>46255</v>
      </c>
      <c r="F12" s="29">
        <f>E12-D12+1</f>
        <v/>
      </c>
      <c r="G12" s="29" t="inlineStr">
        <is>
          <t>Done</t>
        </is>
      </c>
      <c r="H12" s="33" t="inlineStr">
        <is>
          <t>3</t>
        </is>
      </c>
      <c r="I12" s="29" t="inlineStr">
        <is>
          <t>Blocker</t>
        </is>
      </c>
      <c r="J12" s="34" t="inlineStr">
        <is>
          <t>expo export --platform web -&gt; static site. Your kickoff insurance.</t>
        </is>
      </c>
      <c r="K12" s="35" t="inlineStr">
        <is>
          <t>yap-fantasy-game.vercel.app returns 200, incl. /legal/privacy. Auto-deploys on push to main.</t>
        </is>
      </c>
    </row>
    <row r="13" ht="23.85" customHeight="1" s="24">
      <c r="A13" s="29" t="n">
        <v>9</v>
      </c>
      <c r="B13" s="36" t="inlineStr">
        <is>
          <t>P1 Data spine</t>
        </is>
      </c>
      <c r="C13" s="31" t="inlineStr">
        <is>
          <t>Schema v1 migration: profiles, players, teams, cards, card_instances, packs, gems_ledger, stat_lines</t>
        </is>
      </c>
      <c r="D13" s="32" t="n">
        <v>46254</v>
      </c>
      <c r="E13" s="32" t="n">
        <v>46256</v>
      </c>
      <c r="F13" s="29">
        <f>E13-D13+1</f>
        <v/>
      </c>
      <c r="G13" s="29" t="inlineStr">
        <is>
          <t>Done</t>
        </is>
      </c>
      <c r="H13" s="33" t="inlineStr">
        <is>
          <t>4</t>
        </is>
      </c>
      <c r="I13" s="29" t="inlineStr">
        <is>
          <t>Blocker</t>
        </is>
      </c>
      <c r="J13" s="34" t="inlineStr">
        <is>
          <t>card = player template. card_instance = the copy a user owns. Never merge.</t>
        </is>
      </c>
      <c r="K13" s="35" t="inlineStr">
        <is>
          <t>profiles, players, teams, cards, card_instances, packs, gems_ledger, stat_lines. card/card_instance kept separate.</t>
        </is>
      </c>
    </row>
    <row r="14" ht="15" customHeight="1" s="24">
      <c r="A14" s="29" t="n">
        <v>10</v>
      </c>
      <c r="B14" s="36" t="inlineStr">
        <is>
          <t>P1 Data spine</t>
        </is>
      </c>
      <c r="C14" s="31" t="inlineStr">
        <is>
          <t>RLS policies + a test that proves user A cannot read user B's roster</t>
        </is>
      </c>
      <c r="D14" s="32" t="n">
        <v>46256</v>
      </c>
      <c r="E14" s="32" t="n">
        <v>46256</v>
      </c>
      <c r="F14" s="29">
        <f>E14-D14+1</f>
        <v/>
      </c>
      <c r="G14" s="29" t="inlineStr">
        <is>
          <t>Done</t>
        </is>
      </c>
      <c r="H14" s="33" t="inlineStr">
        <is>
          <t>9</t>
        </is>
      </c>
      <c r="I14" s="29" t="inlineStr">
        <is>
          <t>Blocker</t>
        </is>
      </c>
      <c r="J14" s="34" t="inlineStr">
        <is>
          <t>Write the failing test first. Your testers are engineers.</t>
        </is>
      </c>
      <c r="K14" s="35" t="inlineStr">
        <is>
          <t>supabase/tests/rls_isolation.test.sql — user A cannot read B's roster, wallet or ledger.</t>
        </is>
      </c>
    </row>
    <row r="15" ht="15" customHeight="1" s="24">
      <c r="A15" s="29" t="n">
        <v>11</v>
      </c>
      <c r="B15" s="36" t="inlineStr">
        <is>
          <t>P1 Data spine</t>
        </is>
      </c>
      <c r="C15" s="31" t="inlineStr">
        <is>
          <t>StatsProvider interface + balldontlie adapter</t>
        </is>
      </c>
      <c r="D15" s="32" t="n">
        <v>46255</v>
      </c>
      <c r="E15" s="32" t="n">
        <v>46256</v>
      </c>
      <c r="F15" s="29">
        <f>E15-D15+1</f>
        <v/>
      </c>
      <c r="G15" s="29" t="inlineStr">
        <is>
          <t>Done</t>
        </is>
      </c>
      <c r="H15" s="33" t="inlineStr">
        <is>
          <t>2</t>
        </is>
      </c>
      <c r="I15" s="29" t="inlineStr">
        <is>
          <t>Blocker</t>
        </is>
      </c>
      <c r="J15" s="34" t="inlineStr">
        <is>
          <t>Nothing above this layer imports balldontlie types.</t>
        </is>
      </c>
      <c r="K15" s="35" t="inlineStr">
        <is>
          <t>supabase/functions/_shared/stats-provider.ts. Nothing above it imports balldontlie types.</t>
        </is>
      </c>
    </row>
    <row r="16" ht="15" customHeight="1" s="24">
      <c r="A16" s="29" t="n">
        <v>12</v>
      </c>
      <c r="B16" s="36" t="inlineStr">
        <is>
          <t>P1 Data spine</t>
        </is>
      </c>
      <c r="C16" s="31" t="inlineStr">
        <is>
          <t>Nightly players/teams sync Edge Function + cron</t>
        </is>
      </c>
      <c r="D16" s="32" t="n">
        <v>46257</v>
      </c>
      <c r="E16" s="32" t="n">
        <v>46257</v>
      </c>
      <c r="F16" s="29">
        <f>E16-D16+1</f>
        <v/>
      </c>
      <c r="G16" s="29" t="inlineStr">
        <is>
          <t>Done</t>
        </is>
      </c>
      <c r="H16" s="33" t="inlineStr">
        <is>
          <t>11</t>
        </is>
      </c>
      <c r="I16" s="29" t="inlineStr">
        <is>
          <t>4</t>
        </is>
      </c>
      <c r="J16" s="34" t="inlineStr">
        <is>
          <t>Team rosters only exist from the 2025 season onward.</t>
        </is>
      </c>
      <c r="K16" s="35" t="inlineStr">
        <is>
          <t>sync-reference: 32 teams, 3003 players, 330/334 injuries applied. First real run confirmed via cron.job_run_details, not just the schedule.</t>
        </is>
      </c>
    </row>
    <row r="17" ht="15" customHeight="1" s="24">
      <c r="A17" s="29" t="n">
        <v>13</v>
      </c>
      <c r="B17" s="36" t="inlineStr">
        <is>
          <t>P1 Data spine</t>
        </is>
      </c>
      <c r="C17" s="31" t="inlineStr">
        <is>
          <t>Weekly DFS salary snapshot -&gt; rarity band assignment</t>
        </is>
      </c>
      <c r="D17" s="32" t="n">
        <v>46257</v>
      </c>
      <c r="E17" s="32" t="n">
        <v>46258</v>
      </c>
      <c r="F17" s="29">
        <f>E17-D17+1</f>
        <v/>
      </c>
      <c r="G17" s="29" t="inlineStr">
        <is>
          <t>In progress</t>
        </is>
      </c>
      <c r="H17" s="33" t="inlineStr">
        <is>
          <t>11, 12</t>
        </is>
      </c>
      <c r="I17" s="29" t="inlineStr">
        <is>
          <t>3</t>
        </is>
      </c>
      <c r="J17" s="34" t="inlineStr">
        <is>
          <t>Persist every snapshot - slates disappear. Fall back to 2025 season stats.</t>
        </is>
      </c>
      <c r="K17" s="35" t="inlineStr">
        <is>
          <t>DFS salary measured FLAT in preseason and rejected. Rarity now derived from 2025 season production — this row's own documented fallback.</t>
        </is>
      </c>
    </row>
    <row r="18" ht="23.85" customHeight="1" s="24">
      <c r="A18" s="29" t="n">
        <v>14</v>
      </c>
      <c r="B18" s="36" t="inlineStr">
        <is>
          <t>P1 Data spine</t>
        </is>
      </c>
      <c r="C18" s="31" t="inlineStr">
        <is>
          <t>Stat ingestion: games -&gt; game_ids -&gt; /stats paginated -&gt; raw stat_lines</t>
        </is>
      </c>
      <c r="D18" s="32" t="n">
        <v>46258</v>
      </c>
      <c r="E18" s="32" t="n">
        <v>46259</v>
      </c>
      <c r="F18" s="29">
        <f>E18-D18+1</f>
        <v/>
      </c>
      <c r="G18" s="29" t="inlineStr">
        <is>
          <t>Done</t>
        </is>
      </c>
      <c r="H18" s="33" t="inlineStr">
        <is>
          <t>11</t>
        </is>
      </c>
      <c r="I18" s="29" t="inlineStr">
        <is>
          <t>Blocker</t>
        </is>
      </c>
      <c r="J18" s="34" t="inlineStr">
        <is>
          <t>/stats has no week param and no fantasy points. Resolve /games -&gt; ids first.</t>
        </is>
      </c>
      <c r="K18" s="35" t="inlineStr">
        <is>
          <t>~32,600 scored stat_lines across 2024 reg, 2025 reg+post, 2026 preseason.</t>
        </is>
      </c>
    </row>
    <row r="19" ht="23.85" customHeight="1" s="24">
      <c r="A19" s="29" t="n">
        <v>15</v>
      </c>
      <c r="B19" s="36" t="inlineStr">
        <is>
          <t>P1 Data spine</t>
        </is>
      </c>
      <c r="C19" s="31" t="inlineStr">
        <is>
          <t>Scoring engine: pure fn(stat_line, rules_version) -&gt; points, with unit tests</t>
        </is>
      </c>
      <c r="D19" s="32" t="n">
        <v>46259</v>
      </c>
      <c r="E19" s="32" t="n">
        <v>46259</v>
      </c>
      <c r="F19" s="29">
        <f>E19-D19+1</f>
        <v/>
      </c>
      <c r="G19" s="29" t="inlineStr">
        <is>
          <t>Done</t>
        </is>
      </c>
      <c r="H19" s="33" t="inlineStr">
        <is>
          <t>14</t>
        </is>
      </c>
      <c r="I19" s="29" t="inlineStr">
        <is>
          <t>Blocker</t>
        </is>
      </c>
      <c r="J19" s="34" t="inlineStr">
        <is>
          <t>Store raw stats AND points. Scoring will change; recompute, never re-ingest.</t>
        </is>
      </c>
      <c r="K19" s="35" t="inlineStr">
        <is>
          <t>13 unit tests. Rules stored as data in scoring_rules v1 (full PPR + yardage bonuses).</t>
        </is>
      </c>
    </row>
    <row r="20" ht="15" customHeight="1" s="24">
      <c r="A20" s="29" t="n">
        <v>16</v>
      </c>
      <c r="B20" s="36" t="inlineStr">
        <is>
          <t>P1 Data spine</t>
        </is>
      </c>
      <c r="C20" s="37" t="inlineStr">
        <is>
          <t>VALIDATE ingestion against live preseason games</t>
        </is>
      </c>
      <c r="D20" s="32" t="n">
        <v>46260</v>
      </c>
      <c r="E20" s="32" t="n">
        <v>46262</v>
      </c>
      <c r="F20" s="29">
        <f>E20-D20+1</f>
        <v/>
      </c>
      <c r="G20" s="29" t="inlineStr">
        <is>
          <t>In progress</t>
        </is>
      </c>
      <c r="H20" s="33" t="inlineStr">
        <is>
          <t>14, 15</t>
        </is>
      </c>
      <c r="I20" s="29" t="inlineStr">
        <is>
          <t>Blocker</t>
        </is>
      </c>
      <c r="J20" s="34" t="inlineStr">
        <is>
          <t>HARD DEADLINE. Preseason ends ~Aug 29; then no live data until Sept 9.</t>
        </is>
      </c>
      <c r="K20" s="35" t="inlineStr">
        <is>
          <t>Dry run passed 08-18. REAL validation is preseason week 3, Aug 21-24. Last window but one — week 4 (Aug 27-29) is the only retry.</t>
        </is>
      </c>
    </row>
    <row r="21" ht="23.85" customHeight="1" s="24">
      <c r="A21" s="29" t="n">
        <v>17</v>
      </c>
      <c r="B21" s="38" t="inlineStr">
        <is>
          <t>P2 Core loop</t>
        </is>
      </c>
      <c r="C21" s="31" t="inlineStr">
        <is>
          <t>Card component: rarity-driven palette, position glyph, team as 3-letter text</t>
        </is>
      </c>
      <c r="D21" s="32" t="n">
        <v>46259</v>
      </c>
      <c r="E21" s="32" t="n">
        <v>46260</v>
      </c>
      <c r="F21" s="29">
        <f>E21-D21+1</f>
        <v/>
      </c>
      <c r="G21" s="29" t="inlineStr">
        <is>
          <t>Done</t>
        </is>
      </c>
      <c r="H21" s="33" t="inlineStr">
        <is>
          <t>9</t>
        </is>
      </c>
      <c r="I21" s="29" t="inlineStr">
        <is>
          <t>2</t>
        </is>
      </c>
      <c r="J21" s="34" t="inlineStr">
        <is>
          <t>No logos, jerseys, or photos. Palette keyed to rarity, not team.</t>
        </is>
      </c>
      <c r="K21" s="35" t="inlineStr">
        <is>
          <t>Rarity-driven palette, position glyph, 3-letter team. No logos or photos.</t>
        </is>
      </c>
    </row>
    <row r="22" ht="23.85" customHeight="1" s="24">
      <c r="A22" s="29" t="n">
        <v>18</v>
      </c>
      <c r="B22" s="38" t="inlineStr">
        <is>
          <t>P2 Core loop</t>
        </is>
      </c>
      <c r="C22" s="31" t="inlineStr">
        <is>
          <t>Server-side pack opening: Postgres RPC, weighted RNG, transactional gem debit</t>
        </is>
      </c>
      <c r="D22" s="32" t="n">
        <v>46260</v>
      </c>
      <c r="E22" s="32" t="n">
        <v>46261</v>
      </c>
      <c r="F22" s="29">
        <f>E22-D22+1</f>
        <v/>
      </c>
      <c r="G22" s="29" t="inlineStr">
        <is>
          <t>Done</t>
        </is>
      </c>
      <c r="H22" s="33" t="inlineStr">
        <is>
          <t>9, 13</t>
        </is>
      </c>
      <c r="I22" s="29" t="inlineStr">
        <is>
          <t>Blocker</t>
        </is>
      </c>
      <c r="J22" s="34" t="inlineStr">
        <is>
          <t>RNG and gem math never leave the server. Assume Charles Proxy.</t>
        </is>
      </c>
      <c r="K22" s="35" t="inlineStr">
        <is>
          <t>open_pack() RPC. No INSERT policy on card_instances, so it is the only path a card is ever minted.</t>
        </is>
      </c>
    </row>
    <row r="23" ht="15" customHeight="1" s="24">
      <c r="A23" s="29" t="n">
        <v>19</v>
      </c>
      <c r="B23" s="38" t="inlineStr">
        <is>
          <t>P2 Core loop</t>
        </is>
      </c>
      <c r="C23" s="31" t="inlineStr">
        <is>
          <t>Pack open UI + reveal animation (reanimated, works on web + iOS)</t>
        </is>
      </c>
      <c r="D23" s="32" t="n">
        <v>46261</v>
      </c>
      <c r="E23" s="32" t="n">
        <v>46263</v>
      </c>
      <c r="F23" s="29">
        <f>E23-D23+1</f>
        <v/>
      </c>
      <c r="G23" s="29" t="inlineStr">
        <is>
          <t>Done</t>
        </is>
      </c>
      <c r="H23" s="33" t="inlineStr">
        <is>
          <t>17, 18</t>
        </is>
      </c>
      <c r="I23" s="29" t="inlineStr">
        <is>
          <t>1</t>
        </is>
      </c>
      <c r="J23" s="34" t="inlineStr">
        <is>
          <t>First thing to downgrade. A static reveal still works.</t>
        </is>
      </c>
      <c r="K23" s="35" t="inlineStr">
        <is>
          <t>UI ships and lists pulls. Reveal is STATIC — no animation in ShopPanel. Downgraded per this row's own cut order 1.</t>
        </is>
      </c>
    </row>
    <row r="24" ht="15" customHeight="1" s="24">
      <c r="A24" s="29" t="n">
        <v>20</v>
      </c>
      <c r="B24" s="38" t="inlineStr">
        <is>
          <t>P2 Core loop</t>
        </is>
      </c>
      <c r="C24" s="31" t="inlineStr">
        <is>
          <t>Collection screen: grid, filter by position/rarity, card detail</t>
        </is>
      </c>
      <c r="D24" s="32" t="n">
        <v>46262</v>
      </c>
      <c r="E24" s="32" t="n">
        <v>46263</v>
      </c>
      <c r="F24" s="29">
        <f>E24-D24+1</f>
        <v/>
      </c>
      <c r="G24" s="29" t="inlineStr">
        <is>
          <t>Done</t>
        </is>
      </c>
      <c r="H24" s="33" t="inlineStr">
        <is>
          <t>17</t>
        </is>
      </c>
      <c r="I24" s="29" t="inlineStr">
        <is>
          <t>3</t>
        </is>
      </c>
      <c r="J24" s="34" t="inlineStr">
        <is>
          <t>Virtualize the list now, not later.</t>
        </is>
      </c>
      <c r="K24" s="35" t="inlineStr">
        <is>
          <t>Inventory grid, filters, card detail. Three-across as a floor, up to 5 on web.</t>
        </is>
      </c>
    </row>
    <row r="25" ht="15" customHeight="1" s="24">
      <c r="A25" s="29" t="n">
        <v>21</v>
      </c>
      <c r="B25" s="38" t="inlineStr">
        <is>
          <t>P2 Core loop</t>
        </is>
      </c>
      <c r="C25" s="31" t="inlineStr">
        <is>
          <t>Lineup builder + server-enforced weekly lock</t>
        </is>
      </c>
      <c r="D25" s="32" t="n">
        <v>46263</v>
      </c>
      <c r="E25" s="32" t="n">
        <v>46265</v>
      </c>
      <c r="F25" s="29">
        <f>E25-D25+1</f>
        <v/>
      </c>
      <c r="G25" s="29" t="inlineStr">
        <is>
          <t>Done</t>
        </is>
      </c>
      <c r="H25" s="33" t="inlineStr">
        <is>
          <t>9, 20</t>
        </is>
      </c>
      <c r="I25" s="29" t="inlineStr">
        <is>
          <t>Blocker</t>
        </is>
      </c>
      <c r="J25" s="34" t="inlineStr">
        <is>
          <t>Lock time computed server-side. Never trust a client clock.</t>
        </is>
      </c>
      <c r="K25" s="35" t="inlineStr">
        <is>
          <t>set_lineup() — 6/6 attacks blocked, and the happy path writes 8 slots. Lock time computed server-side.</t>
        </is>
      </c>
    </row>
    <row r="26" ht="15" customHeight="1" s="24">
      <c r="A26" s="29" t="n">
        <v>22</v>
      </c>
      <c r="B26" s="38" t="inlineStr">
        <is>
          <t>P2 Core loop</t>
        </is>
      </c>
      <c r="C26" s="31" t="inlineStr">
        <is>
          <t>Gem faucet v1: weekly grant + earn from weekly score</t>
        </is>
      </c>
      <c r="D26" s="32" t="n">
        <v>46264</v>
      </c>
      <c r="E26" s="32" t="n">
        <v>46265</v>
      </c>
      <c r="F26" s="29">
        <f>E26-D26+1</f>
        <v/>
      </c>
      <c r="G26" s="29" t="inlineStr">
        <is>
          <t>Done</t>
        </is>
      </c>
      <c r="H26" s="33" t="inlineStr">
        <is>
          <t>18</t>
        </is>
      </c>
      <c r="I26" s="29" t="inlineStr">
        <is>
          <t>4</t>
        </is>
      </c>
      <c r="J26" s="34" t="inlineStr">
        <is>
          <t>Weekly grant only here. Start stingy - you can always grant more.</t>
        </is>
      </c>
      <c r="K26" s="35" t="inlineStr">
        <is>
          <t>grant_weekly_gems + award_score_gems. Idempotent via gems_ledger.idempotency_key unique index.</t>
        </is>
      </c>
    </row>
    <row r="27" ht="15" customHeight="1" s="24">
      <c r="A27" s="29" t="n">
        <v>23</v>
      </c>
      <c r="B27" s="39" t="inlineStr">
        <is>
          <t>P3 Score+Board</t>
        </is>
      </c>
      <c r="C27" s="31" t="inlineStr">
        <is>
          <t>Live scoring job: 5-min cron on gamedays -&gt; weekly_scores</t>
        </is>
      </c>
      <c r="D27" s="32" t="n">
        <v>46265</v>
      </c>
      <c r="E27" s="32" t="n">
        <v>46266</v>
      </c>
      <c r="F27" s="29">
        <f>E27-D27+1</f>
        <v/>
      </c>
      <c r="G27" s="29" t="inlineStr">
        <is>
          <t>Done</t>
        </is>
      </c>
      <c r="H27" s="33" t="inlineStr">
        <is>
          <t>15, 21</t>
        </is>
      </c>
      <c r="I27" s="29" t="inlineStr">
        <is>
          <t>Blocker</t>
        </is>
      </c>
      <c r="J27" s="34" t="inlineStr">
        <is>
          <t>10 calls per sweep vs a 600/min ceiling. Do not over-engineer caching.</t>
        </is>
      </c>
      <c r="K27" s="35" t="inlineStr">
        <is>
          <t>gameday-sweep every 5 min. 32/32 succeeded, 0 failures, short-circuits with 'skipped: nothing live'.</t>
        </is>
      </c>
    </row>
    <row r="28" ht="15" customHeight="1" s="24">
      <c r="A28" s="29" t="n">
        <v>24</v>
      </c>
      <c r="B28" s="39" t="inlineStr">
        <is>
          <t>P3 Score+Board</t>
        </is>
      </c>
      <c r="C28" s="31" t="inlineStr">
        <is>
          <t>Global leaderboard view + screen</t>
        </is>
      </c>
      <c r="D28" s="32" t="n">
        <v>46266</v>
      </c>
      <c r="E28" s="32" t="n">
        <v>46267</v>
      </c>
      <c r="F28" s="29">
        <f>E28-D28+1</f>
        <v/>
      </c>
      <c r="G28" s="29" t="inlineStr">
        <is>
          <t>Done</t>
        </is>
      </c>
      <c r="H28" s="33" t="inlineStr">
        <is>
          <t>23</t>
        </is>
      </c>
      <c r="I28" s="29" t="inlineStr">
        <is>
          <t>2</t>
        </is>
      </c>
      <c r="J28" s="34" t="inlineStr">
        <is>
          <t>One global board. No leagues or friend lists in the beta.</t>
        </is>
      </c>
      <c r="K28" s="35" t="inlineStr">
        <is>
          <t>One global board. Fixed a hardcoded season_type that rendered it empty for the whole preseason.</t>
        </is>
      </c>
    </row>
    <row r="29" ht="15" customHeight="1" s="24">
      <c r="A29" s="29" t="n">
        <v>25</v>
      </c>
      <c r="B29" s="39" t="inlineStr">
        <is>
          <t>P3 Score+Board</t>
        </is>
      </c>
      <c r="C29" s="31" t="inlineStr">
        <is>
          <t>Injury-status warning on the lineup screen</t>
        </is>
      </c>
      <c r="D29" s="32" t="n">
        <v>46267</v>
      </c>
      <c r="E29" s="32" t="n">
        <v>46267</v>
      </c>
      <c r="F29" s="29">
        <f>E29-D29+1</f>
        <v/>
      </c>
      <c r="G29" s="29" t="inlineStr">
        <is>
          <t>Done</t>
        </is>
      </c>
      <c r="H29" s="33" t="inlineStr">
        <is>
          <t>12</t>
        </is>
      </c>
      <c r="I29" s="29" t="inlineStr">
        <is>
          <t>1</t>
        </is>
      </c>
      <c r="J29" s="34" t="inlineStr">
        <is>
          <t>Cheap win - the injuries endpoint is already in your tier.</t>
        </is>
      </c>
      <c r="K29" s="35" t="inlineStr">
        <is>
          <t>Blocking vs advisory weights. Questionable is the most common status, so it reads as a quiet advisory rather than an alarm.</t>
        </is>
      </c>
    </row>
    <row r="30" ht="15" customHeight="1" s="24">
      <c r="A30" s="29" t="n">
        <v>26</v>
      </c>
      <c r="B30" s="39" t="inlineStr">
        <is>
          <t>P3 Score+Board</t>
        </is>
      </c>
      <c r="C30" s="31" t="inlineStr">
        <is>
          <t>Push notifications: lineup lock reminder + weekly results</t>
        </is>
      </c>
      <c r="D30" s="32" t="n">
        <v>46267</v>
      </c>
      <c r="E30" s="32" t="n">
        <v>46267</v>
      </c>
      <c r="F30" s="29">
        <f>E30-D30+1</f>
        <v/>
      </c>
      <c r="G30" s="29" t="inlineStr">
        <is>
          <t>Not started</t>
        </is>
      </c>
      <c r="H30" s="33" t="inlineStr">
        <is>
          <t>7, 23</t>
        </is>
      </c>
      <c r="I30" s="29" t="inlineStr">
        <is>
          <t>1</t>
        </is>
      </c>
      <c r="J30" s="34" t="inlineStr">
        <is>
          <t>FIRST THING CUT. iOS only anyway.</t>
        </is>
      </c>
      <c r="K30" s="35" t="inlineStr">
        <is>
          <t>The plan's first thing cut. Needs a device build (task 7).</t>
        </is>
      </c>
    </row>
    <row r="31" ht="15" customHeight="1" s="24">
      <c r="A31" s="29" t="n">
        <v>27</v>
      </c>
      <c r="B31" s="40" t="inlineStr">
        <is>
          <t>P4 Ship</t>
        </is>
      </c>
      <c r="C31" s="31" t="inlineStr">
        <is>
          <t>Privacy policy page + support URL + App Privacy questionnaire</t>
        </is>
      </c>
      <c r="D31" s="32" t="n">
        <v>46266</v>
      </c>
      <c r="E31" s="32" t="n">
        <v>46266</v>
      </c>
      <c r="F31" s="29">
        <f>E31-D31+1</f>
        <v/>
      </c>
      <c r="G31" s="29" t="inlineStr">
        <is>
          <t>In progress</t>
        </is>
      </c>
      <c r="H31" s="33" t="inlineStr">
        <is>
          <t>8</t>
        </is>
      </c>
      <c r="I31" s="29" t="inlineStr">
        <is>
          <t>Blocker</t>
        </is>
      </c>
      <c r="J31" s="34" t="inlineStr">
        <is>
          <t>Blocks submission. Everyone forgets this and loses a day.</t>
        </is>
      </c>
      <c r="K31" s="35" t="inlineStr">
        <is>
          <t>/legal/privacy and /legal/support are live and outside the auth gate. SUPPORT_EMAIL is still a placeholder; App Privacy questionnaire needs task 6.</t>
        </is>
      </c>
    </row>
    <row r="32" ht="15" customHeight="1" s="24">
      <c r="A32" s="29" t="n">
        <v>28</v>
      </c>
      <c r="B32" s="40" t="inlineStr">
        <is>
          <t>P4 Ship</t>
        </is>
      </c>
      <c r="C32" s="31" t="inlineStr">
        <is>
          <t>Internal TestFlight build to friends (up to 100, NO review)</t>
        </is>
      </c>
      <c r="D32" s="32" t="n">
        <v>46266</v>
      </c>
      <c r="E32" s="32" t="n">
        <v>46266</v>
      </c>
      <c r="F32" s="29">
        <f>E32-D32+1</f>
        <v/>
      </c>
      <c r="G32" s="29" t="inlineStr">
        <is>
          <t>Not started</t>
        </is>
      </c>
      <c r="H32" s="33" t="inlineStr">
        <is>
          <t>7, 21</t>
        </is>
      </c>
      <c r="I32" s="29" t="inlineStr">
        <is>
          <t>Blocker</t>
        </is>
      </c>
      <c r="J32" s="34" t="inlineStr">
        <is>
          <t>Each tester needs an App Store Connect role. Invite them now.</t>
        </is>
      </c>
      <c r="K32" s="35" t="inlineStr">
        <is>
          <t>Blocked on 1 and 7. ALSO blocked on custom SMTP — the built-in sender allows ~2 emails/hour, which cannot onboard 20 testers.</t>
        </is>
      </c>
    </row>
    <row r="33" ht="15" customHeight="1" s="24">
      <c r="A33" s="29" t="n">
        <v>29</v>
      </c>
      <c r="B33" s="40" t="inlineStr">
        <is>
          <t>P4 Ship</t>
        </is>
      </c>
      <c r="C33" s="37" t="inlineStr">
        <is>
          <t>FEATURE FREEZE</t>
        </is>
      </c>
      <c r="D33" s="32" t="n">
        <v>46267</v>
      </c>
      <c r="E33" s="32" t="n">
        <v>46267</v>
      </c>
      <c r="F33" s="29">
        <f>E33-D33+1</f>
        <v/>
      </c>
      <c r="G33" s="29" t="inlineStr">
        <is>
          <t>Not started</t>
        </is>
      </c>
      <c r="H33" s="33" t="inlineStr">
        <is>
          <t>22, 24</t>
        </is>
      </c>
      <c r="I33" s="29" t="inlineStr">
        <is>
          <t>Blocker</t>
        </is>
      </c>
      <c r="J33" s="34" t="inlineStr">
        <is>
          <t>Bugs only after this line.</t>
        </is>
      </c>
      <c r="K33" s="35" t="inlineStr">
        <is>
          <t>Sept 2. The Deferred tab is the contract.</t>
        </is>
      </c>
    </row>
    <row r="34" ht="15" customHeight="1" s="24">
      <c r="A34" s="29" t="n">
        <v>30</v>
      </c>
      <c r="B34" s="40" t="inlineStr">
        <is>
          <t>P4 Ship</t>
        </is>
      </c>
      <c r="C34" s="31" t="inlineStr">
        <is>
          <t>Submit external TestFlight for Beta App Review</t>
        </is>
      </c>
      <c r="D34" s="32" t="n">
        <v>46267</v>
      </c>
      <c r="E34" s="32" t="n">
        <v>46267</v>
      </c>
      <c r="F34" s="29">
        <f>E34-D34+1</f>
        <v/>
      </c>
      <c r="G34" s="29" t="inlineStr">
        <is>
          <t>Not started</t>
        </is>
      </c>
      <c r="H34" s="33" t="inlineStr">
        <is>
          <t>27, 29</t>
        </is>
      </c>
      <c r="I34" s="29" t="inlineStr">
        <is>
          <t>Blocker</t>
        </is>
      </c>
      <c r="J34" s="34" t="inlineStr">
        <is>
          <t>1-2 days typical. This date budgets one rejection round.</t>
        </is>
      </c>
      <c r="K34" s="35" t="inlineStr">
        <is>
          <t>Blocked on 27 and 29.</t>
        </is>
      </c>
    </row>
    <row r="35" ht="15" customHeight="1" s="24">
      <c r="A35" s="29" t="n">
        <v>31</v>
      </c>
      <c r="B35" s="40" t="inlineStr">
        <is>
          <t>P4 Ship</t>
        </is>
      </c>
      <c r="C35" s="31" t="inlineStr">
        <is>
          <t>Abuse pass: try to grant yourself gems and set a lineup post-lock</t>
        </is>
      </c>
      <c r="D35" s="32" t="n">
        <v>46268</v>
      </c>
      <c r="E35" s="32" t="n">
        <v>46268</v>
      </c>
      <c r="F35" s="29">
        <f>E35-D35+1</f>
        <v/>
      </c>
      <c r="G35" s="29" t="inlineStr">
        <is>
          <t>Done</t>
        </is>
      </c>
      <c r="H35" s="33" t="inlineStr">
        <is>
          <t>18, 21, 22</t>
        </is>
      </c>
      <c r="I35" s="29" t="inlineStr">
        <is>
          <t>Blocker</t>
        </is>
      </c>
      <c r="J35" s="34" t="inlineStr">
        <is>
          <t>Attack your own API with curl. If you can do it, they will.</t>
        </is>
      </c>
      <c r="K35" s="35" t="inlineStr">
        <is>
          <t>Six suites, each in a rolled-back transaction: rls_isolation, lineup_abuse, economy_abuse, sell_card, slate_transition, view_security.</t>
        </is>
      </c>
    </row>
    <row r="36" ht="15" customHeight="1" s="24">
      <c r="A36" s="29" t="n">
        <v>32</v>
      </c>
      <c r="B36" s="40" t="inlineStr">
        <is>
          <t>P4 Ship</t>
        </is>
      </c>
      <c r="C36" s="31" t="inlineStr">
        <is>
          <t>Bug fix buffer</t>
        </is>
      </c>
      <c r="D36" s="32" t="n">
        <v>46268</v>
      </c>
      <c r="E36" s="32" t="n">
        <v>46273</v>
      </c>
      <c r="F36" s="29">
        <f>E36-D36+1</f>
        <v/>
      </c>
      <c r="G36" s="29" t="inlineStr">
        <is>
          <t>Not started</t>
        </is>
      </c>
      <c r="H36" s="33" t="inlineStr">
        <is>
          <t>29</t>
        </is>
      </c>
      <c r="I36" s="29" t="inlineStr">
        <is>
          <t>Buffer</t>
        </is>
      </c>
      <c r="J36" s="34" t="inlineStr">
        <is>
          <t>Six days. It will not feel like enough. It never does.</t>
        </is>
      </c>
      <c r="K36" s="35" t="inlineStr">
        <is>
          <t>Six days of buffer, unstarted.</t>
        </is>
      </c>
    </row>
    <row r="37" ht="15" customHeight="1" s="24">
      <c r="A37" s="29" t="n">
        <v>33</v>
      </c>
      <c r="B37" s="40" t="inlineStr">
        <is>
          <t>P4 Ship</t>
        </is>
      </c>
      <c r="C37" s="31" t="inlineStr">
        <is>
          <t>Friends dry run: simulated Week 0 end-to-end</t>
        </is>
      </c>
      <c r="D37" s="32" t="n">
        <v>46270</v>
      </c>
      <c r="E37" s="32" t="n">
        <v>46271</v>
      </c>
      <c r="F37" s="29">
        <f>E37-D37+1</f>
        <v/>
      </c>
      <c r="G37" s="29" t="inlineStr">
        <is>
          <t>Not started</t>
        </is>
      </c>
      <c r="H37" s="33" t="inlineStr">
        <is>
          <t>28</t>
        </is>
      </c>
      <c r="I37" s="29" t="inlineStr">
        <is>
          <t>Blocker</t>
        </is>
      </c>
      <c r="J37" s="34" t="inlineStr">
        <is>
          <t>Full loop: pack -&gt; lineup -&gt; lock -&gt; score -&gt; board. Fake stats if needed.</t>
        </is>
      </c>
      <c r="K37" s="35" t="inlineStr">
        <is>
          <t>Blocked on 28.</t>
        </is>
      </c>
    </row>
    <row r="38" ht="15" customHeight="1" s="24">
      <c r="A38" s="29" t="n">
        <v>34</v>
      </c>
      <c r="B38" s="40" t="inlineStr">
        <is>
          <t>P4 Ship</t>
        </is>
      </c>
      <c r="C38" s="31" t="inlineStr">
        <is>
          <t>Set up EAS Update (OTA) channel</t>
        </is>
      </c>
      <c r="D38" s="32" t="n">
        <v>46269</v>
      </c>
      <c r="E38" s="32" t="n">
        <v>46269</v>
      </c>
      <c r="F38" s="29">
        <f>E38-D38+1</f>
        <v/>
      </c>
      <c r="G38" s="29" t="inlineStr">
        <is>
          <t>Not started</t>
        </is>
      </c>
      <c r="H38" s="33" t="inlineStr">
        <is>
          <t>30</t>
        </is>
      </c>
      <c r="I38" s="29" t="inlineStr">
        <is>
          <t>2</t>
        </is>
      </c>
      <c r="J38" s="34" t="inlineStr">
        <is>
          <t>Push JS fixes mid-beta without another App Review. Worth the hour.</t>
        </is>
      </c>
      <c r="K38" s="35" t="inlineStr">
        <is>
          <t>Worth the hour once 30 clears.</t>
        </is>
      </c>
    </row>
    <row r="39" ht="15" customHeight="1" s="24">
      <c r="A39" s="29" t="n">
        <v>35</v>
      </c>
      <c r="B39" s="41" t="inlineStr">
        <is>
          <t>P5 Kickoff</t>
        </is>
      </c>
      <c r="C39" s="31" t="inlineStr">
        <is>
          <t>Week 1 opener - monitor ingestion live</t>
        </is>
      </c>
      <c r="D39" s="32" t="n">
        <v>46274</v>
      </c>
      <c r="E39" s="32" t="n">
        <v>46274</v>
      </c>
      <c r="F39" s="29">
        <f>E39-D39+1</f>
        <v/>
      </c>
      <c r="G39" s="29" t="inlineStr">
        <is>
          <t>Not started</t>
        </is>
      </c>
      <c r="H39" s="33" t="inlineStr">
        <is>
          <t>33</t>
        </is>
      </c>
      <c r="I39" s="29" t="inlineStr">
        <is>
          <t>-</t>
        </is>
      </c>
      <c r="J39" s="34" t="inlineStr">
        <is>
          <t>Wednesday opener (Thursday game is in Australia). Watch the first sweep.</t>
        </is>
      </c>
      <c r="K39" s="35" t="inlineStr">
        <is>
          <t>Sept 9. docs/gameday-runbook.md is the procedure to follow.</t>
        </is>
      </c>
    </row>
  </sheetData>
  <autoFilter ref="A4:J39"/>
  <conditionalFormatting sqref="G5:G39">
    <cfRule type="cellIs" rank="0" priority="2" equalAverage="0" operator="equal" aboveAverage="0" dxfId="11" text="" percent="0" bottom="0">
      <formula>"Done"</formula>
    </cfRule>
    <cfRule type="cellIs" rank="0" priority="3" equalAverage="0" operator="equal" aboveAverage="0" dxfId="12" text="" percent="0" bottom="0">
      <formula>"Blocked"</formula>
    </cfRule>
    <cfRule type="cellIs" rank="0" priority="4" equalAverage="0" operator="equal" aboveAverage="0" dxfId="13" text="" percent="0" bottom="0">
      <formula>"In progress"</formula>
    </cfRule>
    <cfRule type="cellIs" rank="0" priority="5" equalAverage="0" operator="equal" aboveAverage="0" dxfId="14" text="" percent="0" bottom="0">
      <formula>"Cut"</formula>
    </cfRule>
  </conditionalFormatting>
  <conditionalFormatting sqref="I5:I39">
    <cfRule type="cellIs" rank="0" priority="6" equalAverage="0" operator="equal" aboveAverage="0" dxfId="15" text="" percent="0" bottom="0">
      <formula>"Blocker"</formula>
    </cfRule>
  </conditionalFormatting>
  <dataValidations count="1">
    <dataValidation sqref="G5:G39" showDropDown="0" showInputMessage="0" showErrorMessage="0" allowBlank="1" type="list" errorStyle="stop" operator="between">
      <formula1>"Not started,In progress,Blocked,Done,Cut"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48" customWidth="1" style="23" min="2" max="2"/>
    <col width="66" customWidth="1" style="23" min="3" max="3"/>
    <col width="8" customWidth="1" style="23" min="4" max="4"/>
  </cols>
  <sheetData>
    <row r="1" ht="17.35" customHeight="1" s="24">
      <c r="A1" s="25" t="inlineStr">
        <is>
          <t>Milestones &amp; Progress</t>
        </is>
      </c>
    </row>
    <row r="3" ht="15" customHeight="1" s="24">
      <c r="A3" s="42" t="inlineStr">
        <is>
          <t>PROGRESS</t>
        </is>
      </c>
    </row>
    <row r="4" ht="15" customHeight="1" s="24">
      <c r="A4" s="43" t="inlineStr">
        <is>
          <t>Total tasks</t>
        </is>
      </c>
      <c r="B4" s="44">
        <f>COUNTA('Build Plan'!A5:A39)</f>
        <v/>
      </c>
    </row>
    <row r="5" ht="15" customHeight="1" s="24">
      <c r="A5" s="43" t="inlineStr">
        <is>
          <t>Done</t>
        </is>
      </c>
      <c r="B5" s="44">
        <f>COUNTIF('Build Plan'!G5:G39,"Done")</f>
        <v/>
      </c>
    </row>
    <row r="6" ht="15" customHeight="1" s="24">
      <c r="A6" s="43" t="inlineStr">
        <is>
          <t>In progress</t>
        </is>
      </c>
      <c r="B6" s="44">
        <f>COUNTIF('Build Plan'!G5:G39,"In progress")</f>
        <v/>
      </c>
    </row>
    <row r="7" ht="15" customHeight="1" s="24">
      <c r="A7" s="43" t="inlineStr">
        <is>
          <t>Blocked</t>
        </is>
      </c>
      <c r="B7" s="44">
        <f>COUNTIF('Build Plan'!G5:G39,"Blocked")</f>
        <v/>
      </c>
    </row>
    <row r="8" ht="15" customHeight="1" s="24">
      <c r="A8" s="43" t="inlineStr">
        <is>
          <t>Not started</t>
        </is>
      </c>
      <c r="B8" s="44">
        <f>COUNTIF('Build Plan'!G5:G39,"Not started")</f>
        <v/>
      </c>
    </row>
    <row r="9" ht="15" customHeight="1" s="24">
      <c r="A9" s="43" t="inlineStr">
        <is>
          <t>Cut</t>
        </is>
      </c>
      <c r="B9" s="44">
        <f>COUNTIF('Build Plan'!G5:G39,"Cut")</f>
        <v/>
      </c>
    </row>
    <row r="10" ht="15" customHeight="1" s="24">
      <c r="A10" s="43" t="inlineStr">
        <is>
          <t>% complete</t>
        </is>
      </c>
      <c r="B10" s="45">
        <f>IFERROR(COUNTIF('Build Plan'!G5:G39,"Done")/COUNTA('Build Plan'!A5:A39),0)</f>
        <v/>
      </c>
    </row>
    <row r="11" ht="15" customHeight="1" s="24">
      <c r="A11" s="43" t="inlineStr">
        <is>
          <t>Blockers left</t>
        </is>
      </c>
      <c r="B11" s="44">
        <f>COUNTIFS('Build Plan'!I5:I39,"Blocker",'Build Plan'!G5:G39,"&lt;&gt;Done")</f>
        <v/>
      </c>
    </row>
    <row r="12" ht="15" customHeight="1" s="24">
      <c r="A12" s="43" t="inlineStr">
        <is>
          <t>Days to kickoff</t>
        </is>
      </c>
      <c r="B12" s="46">
        <f>DATE(2026,9,9)-TODAY()</f>
        <v/>
      </c>
    </row>
    <row r="14" ht="15" customHeight="1" s="24">
      <c r="A14" s="42" t="inlineStr">
        <is>
          <t>MILESTONES</t>
        </is>
      </c>
    </row>
    <row r="15" ht="15" customHeight="1" s="24">
      <c r="A15" s="27" t="inlineStr">
        <is>
          <t>Date</t>
        </is>
      </c>
      <c r="B15" s="27" t="inlineStr">
        <is>
          <t>Milestone</t>
        </is>
      </c>
      <c r="C15" s="27" t="inlineStr">
        <is>
          <t>Why it matters</t>
        </is>
      </c>
      <c r="D15" s="27" t="inlineStr">
        <is>
          <t>Hit?</t>
        </is>
      </c>
    </row>
    <row r="16" ht="15" customHeight="1" s="24">
      <c r="A16" s="32" t="n">
        <v>46255</v>
      </c>
      <c r="B16" s="33" t="inlineStr">
        <is>
          <t>Dev build on your phone + web deployed</t>
        </is>
      </c>
      <c r="C16" s="31" t="inlineStr">
        <is>
          <t>If this slips, everything slips.</t>
        </is>
      </c>
      <c r="D16" s="29" t="inlineStr">
        <is>
          <t>No</t>
        </is>
      </c>
    </row>
    <row r="17" ht="15" customHeight="1" s="24">
      <c r="A17" s="32" t="n">
        <v>46259</v>
      </c>
      <c r="B17" s="33" t="inlineStr">
        <is>
          <t>Ingestion produces real fantasy points from real games</t>
        </is>
      </c>
      <c r="C17" s="31" t="inlineStr">
        <is>
          <t>The moment the app has a reason to exist.</t>
        </is>
      </c>
      <c r="D17" s="29" t="inlineStr">
        <is>
          <t>No</t>
        </is>
      </c>
    </row>
    <row r="18" ht="15" customHeight="1" s="24">
      <c r="A18" s="32" t="n">
        <v>46263</v>
      </c>
      <c r="B18" s="33" t="inlineStr">
        <is>
          <t>Preseason validation complete</t>
        </is>
      </c>
      <c r="C18" s="31" t="inlineStr">
        <is>
          <t>HARD DEADLINE - last live data before Week 1.</t>
        </is>
      </c>
      <c r="D18" s="29" t="inlineStr">
        <is>
          <t>No</t>
        </is>
      </c>
    </row>
    <row r="19" ht="15" customHeight="1" s="24">
      <c r="A19" s="32" t="n">
        <v>46265</v>
      </c>
      <c r="B19" s="33" t="inlineStr">
        <is>
          <t>Core loop playable end to end</t>
        </is>
      </c>
      <c r="C19" s="31" t="inlineStr">
        <is>
          <t>Open pack -&gt; collection -&gt; lineup -&gt; lock.</t>
        </is>
      </c>
      <c r="D19" s="29" t="inlineStr">
        <is>
          <t>No</t>
        </is>
      </c>
    </row>
    <row r="20" ht="15" customHeight="1" s="24">
      <c r="A20" s="32" t="n">
        <v>46266</v>
      </c>
      <c r="B20" s="33" t="inlineStr">
        <is>
          <t>Internal TestFlight in friends' hands</t>
        </is>
      </c>
      <c r="C20" s="31" t="inlineStr">
        <is>
          <t>No App Review needed. Real users, 8 days early.</t>
        </is>
      </c>
      <c r="D20" s="29" t="inlineStr">
        <is>
          <t>No</t>
        </is>
      </c>
    </row>
    <row r="21" ht="15" customHeight="1" s="24">
      <c r="A21" s="32" t="n">
        <v>46267</v>
      </c>
      <c r="B21" s="33" t="inlineStr">
        <is>
          <t>Feature freeze + external TestFlight submitted</t>
        </is>
      </c>
      <c r="C21" s="31" t="inlineStr">
        <is>
          <t>Budgets one rejection round.</t>
        </is>
      </c>
      <c r="D21" s="29" t="inlineStr">
        <is>
          <t>No</t>
        </is>
      </c>
    </row>
    <row r="22" ht="15" customHeight="1" s="24">
      <c r="A22" s="32" t="n">
        <v>46271</v>
      </c>
      <c r="B22" s="33" t="inlineStr">
        <is>
          <t>Friends dry run complete</t>
        </is>
      </c>
      <c r="C22" s="31" t="inlineStr">
        <is>
          <t>Simulated Week 0, full loop.</t>
        </is>
      </c>
      <c r="D22" s="29" t="inlineStr">
        <is>
          <t>No</t>
        </is>
      </c>
    </row>
    <row r="23" ht="15" customHeight="1" s="24">
      <c r="A23" s="32" t="n">
        <v>46274</v>
      </c>
      <c r="B23" s="47" t="inlineStr">
        <is>
          <t>KICKOFF - NFL Week 1 opener</t>
        </is>
      </c>
      <c r="C23" s="31" t="inlineStr">
        <is>
          <t>Wednesday. 22 days from Aug 18.</t>
        </is>
      </c>
      <c r="D23" s="29" t="inlineStr">
        <is>
          <t>No</t>
        </is>
      </c>
    </row>
  </sheetData>
  <conditionalFormatting sqref="D16:D23">
    <cfRule type="cellIs" rank="0" priority="2" equalAverage="0" operator="equal" aboveAverage="0" dxfId="11" text="" percent="0" bottom="0">
      <formula>"Yes"</formula>
    </cfRule>
  </conditionalFormatting>
  <dataValidations count="1">
    <dataValidation sqref="D16:D23" showDropDown="0" showInputMessage="0" showErrorMessage="0" allowBlank="1" type="list" errorStyle="stop" operator="between">
      <formula1>"No,Yes"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3" min="1" max="1"/>
    <col width="18" customWidth="1" style="23" min="2" max="2"/>
    <col width="92" customWidth="1" style="23" min="3" max="3"/>
  </cols>
  <sheetData>
    <row r="1" ht="17.35" customHeight="1" s="24">
      <c r="A1" s="25" t="inlineStr">
        <is>
          <t>Explicitly NOT in the Sept 9 beta</t>
        </is>
      </c>
    </row>
    <row r="2" ht="15" customHeight="1" s="24">
      <c r="A2" s="26" t="inlineStr">
        <is>
          <t>A contract with yourself. Anything that creeps back in costs the kickoff date.</t>
        </is>
      </c>
    </row>
    <row r="4" ht="15" customHeight="1" s="24">
      <c r="A4" s="27" t="inlineStr">
        <is>
          <t>Feature</t>
        </is>
      </c>
      <c r="B4" s="27" t="inlineStr">
        <is>
          <t>Target</t>
        </is>
      </c>
      <c r="C4" s="27" t="inlineStr">
        <is>
          <t>Why it waits</t>
        </is>
      </c>
    </row>
    <row r="5" ht="15" customHeight="1" s="24">
      <c r="A5" s="33" t="inlineStr">
        <is>
          <t>Sets / Museum</t>
        </is>
      </c>
      <c r="B5" s="33" t="inlineStr">
        <is>
          <t>Ship Week 3</t>
        </is>
      </c>
      <c r="C5" s="31" t="inlineStr">
        <is>
          <t>Nobody can complete a set in Week 1 anyway. Buys three weeks.</t>
        </is>
      </c>
    </row>
    <row r="6" ht="15" customHeight="1" s="24">
      <c r="A6" s="33" t="inlineStr">
        <is>
          <t>Card selling</t>
        </is>
      </c>
      <c r="B6" s="33" t="inlineStr">
        <is>
          <t>Late Sept</t>
        </is>
      </c>
      <c r="C6" s="31" t="inlineStr">
        <is>
          <t>Blocked on the set-reward decision. Gem sinks balance together.</t>
        </is>
      </c>
    </row>
    <row r="7" ht="15" customHeight="1" s="24">
      <c r="A7" s="33" t="inlineStr">
        <is>
          <t>Tier ranking (museum duplicates as fuel)</t>
        </is>
      </c>
      <c r="B7" s="33" t="inlineStr">
        <is>
          <t>Late Sept</t>
        </is>
      </c>
      <c r="C7" s="31" t="inlineStr">
        <is>
          <t>Makes duplicate pulls valuable. Not day-one important.</t>
        </is>
      </c>
    </row>
    <row r="8" ht="15" customHeight="1" s="24">
      <c r="A8" s="33" t="inlineStr">
        <is>
          <t>Free agent market</t>
        </is>
      </c>
      <c r="B8" s="33" t="inlineStr">
        <is>
          <t>October</t>
        </is>
      </c>
      <c r="C8" s="31" t="inlineStr">
        <is>
          <t>Adds an economy AND a moderation surface.</t>
        </is>
      </c>
    </row>
    <row r="9" ht="15" customHeight="1" s="24">
      <c r="A9" s="33" t="inlineStr">
        <is>
          <t>Discord bot (read-only)</t>
        </is>
      </c>
      <c r="B9" s="33" t="inlineStr">
        <is>
          <t>October</t>
        </is>
      </c>
      <c r="C9" s="31" t="inlineStr">
        <is>
          <t>Lock + pull results to a channel, OAuth-linked. A weekend once core is stable.</t>
        </is>
      </c>
    </row>
    <row r="10" ht="15" customHeight="1" s="24">
      <c r="A10" s="33" t="inlineStr">
        <is>
          <t>In-app purchases</t>
        </is>
      </c>
      <c r="B10" s="33" t="inlineStr">
        <is>
          <t>Not in beta</t>
        </is>
      </c>
      <c r="C10" s="31" t="inlineStr">
        <is>
          <t>Earned gems only. Tests fun before monetization.</t>
        </is>
      </c>
    </row>
    <row r="11" ht="15" customHeight="1" s="24">
      <c r="A11" s="33" t="inlineStr">
        <is>
          <t>Profile beyond name + avatar</t>
        </is>
      </c>
      <c r="B11" s="33" t="inlineStr">
        <is>
          <t>Late Sept</t>
        </is>
      </c>
      <c r="C11" s="31" t="inlineStr">
        <is>
          <t>No bios, stats pages, or follower graph.</t>
        </is>
      </c>
    </row>
    <row r="12" ht="15" customHeight="1" s="24">
      <c r="A12" s="33" t="inlineStr">
        <is>
          <t>Real player art</t>
        </is>
      </c>
      <c r="B12" s="33" t="inlineStr">
        <is>
          <t>When you generate it</t>
        </is>
      </c>
      <c r="C12" s="31" t="inlineStr">
        <is>
          <t>Position glyph + rarity palette. Layout does not change when art lands.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23" min="1" max="1"/>
    <col width="13" customWidth="1" style="23" min="2" max="2"/>
    <col width="42" customWidth="1" style="23" min="3" max="3"/>
    <col width="82" customWidth="1" style="23" min="4" max="4"/>
  </cols>
  <sheetData>
    <row r="1" ht="17.35" customHeight="1" s="24">
      <c r="A1" s="25" t="inlineStr">
        <is>
          <t>Risks &amp; Mitigations</t>
        </is>
      </c>
    </row>
    <row r="3" ht="15" customHeight="1" s="24">
      <c r="A3" s="27" t="inlineStr">
        <is>
          <t>Risk</t>
        </is>
      </c>
      <c r="B3" s="27" t="inlineStr">
        <is>
          <t>Likelihood</t>
        </is>
      </c>
      <c r="C3" s="27" t="inlineStr">
        <is>
          <t>Impact if it lands</t>
        </is>
      </c>
      <c r="D3" s="27" t="inlineStr">
        <is>
          <t>Mitigation</t>
        </is>
      </c>
    </row>
    <row r="4" ht="15" customHeight="1" s="24">
      <c r="A4" s="33" t="inlineStr">
        <is>
          <t>Apple Developer enrollment stalls</t>
        </is>
      </c>
      <c r="B4" s="29" t="inlineStr">
        <is>
          <t>High</t>
        </is>
      </c>
      <c r="C4" s="31" t="inlineStr">
        <is>
          <t>Nothing reaches a phone</t>
        </is>
      </c>
      <c r="D4" s="31" t="inlineStr">
        <is>
          <t>Started Aug 18. Web build ships regardless.</t>
        </is>
      </c>
    </row>
    <row r="5" ht="15" customHeight="1" s="24">
      <c r="A5" s="33" t="inlineStr">
        <is>
          <t>Beta App Review rejects the external build</t>
        </is>
      </c>
      <c r="B5" s="29" t="inlineStr">
        <is>
          <t>Medium</t>
        </is>
      </c>
      <c r="C5" s="31" t="inlineStr">
        <is>
          <t>Friends cannot install by Sept 9</t>
        </is>
      </c>
      <c r="D5" s="31" t="inlineStr">
        <is>
          <t>Web live Aug 21 + internal TestFlight covers 100 friends without review.</t>
        </is>
      </c>
    </row>
    <row r="6" ht="15" customHeight="1" s="24">
      <c r="A6" s="33" t="inlineStr">
        <is>
          <t>Preseason data window closes ~Aug 29</t>
        </is>
      </c>
      <c r="B6" s="29" t="inlineStr">
        <is>
          <t>High</t>
        </is>
      </c>
      <c r="C6" s="31" t="inlineStr">
        <is>
          <t>Ingestion untested against live data until kickoff</t>
        </is>
      </c>
      <c r="D6" s="31" t="inlineStr">
        <is>
          <t>Task 16 is hard, not soft. If it slips, replay 2025 stat lines.</t>
        </is>
      </c>
    </row>
    <row r="7" ht="15" customHeight="1" s="24">
      <c r="A7" s="33" t="inlineStr">
        <is>
          <t>No DFS slates in preseason / bye weeks</t>
        </is>
      </c>
      <c r="B7" s="29" t="inlineStr">
        <is>
          <t>Medium</t>
        </is>
      </c>
      <c r="C7" s="31" t="inlineStr">
        <is>
          <t>Rarity assignment has gaps</t>
        </is>
      </c>
      <c r="D7" s="31" t="inlineStr">
        <is>
          <t>Fallback tier from 2025 season stats. Persist every snapshot.</t>
        </is>
      </c>
    </row>
    <row r="8" ht="15" customHeight="1" s="24">
      <c r="A8" s="33" t="inlineStr">
        <is>
          <t>Scoring rules change mid-beta</t>
        </is>
      </c>
      <c r="B8" s="29" t="inlineStr">
        <is>
          <t>Certain</t>
        </is>
      </c>
      <c r="C8" s="31" t="inlineStr">
        <is>
          <t>Rescoring pain</t>
        </is>
      </c>
      <c r="D8" s="31" t="inlineStr">
        <is>
          <t>Raw stat_lines stored apart from points, rules versioned. Recompute is a query.</t>
        </is>
      </c>
    </row>
    <row r="9" ht="15" customHeight="1" s="24">
      <c r="A9" s="33" t="inlineStr">
        <is>
          <t>balldontlie /stats has no week param</t>
        </is>
      </c>
      <c r="B9" s="29" t="inlineStr">
        <is>
          <t>Certain</t>
        </is>
      </c>
      <c r="C9" s="31" t="inlineStr">
        <is>
          <t>Naive ingestion is wrong</t>
        </is>
      </c>
      <c r="D9" s="31" t="inlineStr">
        <is>
          <t>Resolve week -&gt; game_ids via /games. Handled in task 14.</t>
        </is>
      </c>
    </row>
    <row r="10" ht="15" customHeight="1" s="24">
      <c r="A10" s="33" t="inlineStr">
        <is>
          <t>Undocumented API shape drift</t>
        </is>
      </c>
      <c r="B10" s="29" t="inlineStr">
        <is>
          <t>Low</t>
        </is>
      </c>
      <c r="C10" s="31" t="inlineStr">
        <is>
          <t>Ingestion breaks silently</t>
        </is>
      </c>
      <c r="D10" s="31" t="inlineStr">
        <is>
          <t>StatsProvider (task 11) makes a swap one file. Alert on zero-row sweeps.</t>
        </is>
      </c>
    </row>
    <row r="11" ht="15" customHeight="1" s="24">
      <c r="A11" s="33" t="inlineStr">
        <is>
          <t>Scope creep from your own good ideas</t>
        </is>
      </c>
      <c r="B11" s="29" t="inlineStr">
        <is>
          <t>Certain</t>
        </is>
      </c>
      <c r="C11" s="31" t="inlineStr">
        <is>
          <t>Miss kickoff</t>
        </is>
      </c>
      <c r="D11" s="31" t="inlineStr">
        <is>
          <t>The Deferred tab is the contract. Sept 2 freeze enforces it.</t>
        </is>
      </c>
    </row>
  </sheetData>
  <conditionalFormatting sqref="B4:B11">
    <cfRule type="cellIs" rank="0" priority="2" equalAverage="0" operator="equal" aboveAverage="0" dxfId="12" text="" percent="0" bottom="0">
      <formula>"Certain"</formula>
    </cfRule>
    <cfRule type="cellIs" rank="0" priority="3" equalAverage="0" operator="equal" aboveAverage="0" dxfId="16" text="" percent="0" bottom="0">
      <formula>"High"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6" customWidth="1" style="23" min="1" max="1"/>
    <col width="13" customWidth="1" style="23" min="2" max="2"/>
    <col width="100" customWidth="1" style="23" min="3" max="3"/>
  </cols>
  <sheetData>
    <row r="1" ht="17.35" customHeight="1" s="24">
      <c r="A1" s="25" t="inlineStr">
        <is>
          <t>Locked decisions &amp; open questions</t>
        </is>
      </c>
    </row>
    <row r="3" ht="15" customHeight="1" s="24">
      <c r="A3" s="27" t="inlineStr">
        <is>
          <t>Decision</t>
        </is>
      </c>
      <c r="B3" s="27" t="inlineStr">
        <is>
          <t>Status</t>
        </is>
      </c>
      <c r="C3" s="27" t="inlineStr">
        <is>
          <t>Rationale / what unblocks it</t>
        </is>
      </c>
    </row>
    <row r="4" ht="23.85" customHeight="1" s="24">
      <c r="A4" s="31" t="inlineStr">
        <is>
          <t>Expo Router universal app (one codebase -&gt; iOS + web)</t>
        </is>
      </c>
      <c r="B4" s="48" t="inlineStr">
        <is>
          <t>LOCKED</t>
        </is>
      </c>
      <c r="C4" s="31" t="inlineStr">
        <is>
          <t>One codebase, file-based routing, native on iOS and React Native Web in the browser. A separate Next.js app is the trap on a first universal build.</t>
        </is>
      </c>
    </row>
    <row r="5" ht="15" customHeight="1" s="24">
      <c r="A5" s="31" t="inlineStr">
        <is>
          <t>Supabase for auth, Postgres, Edge Functions, cron</t>
        </is>
      </c>
      <c r="B5" s="48" t="inlineStr">
        <is>
          <t>LOCKED</t>
        </is>
      </c>
      <c r="C5" s="31" t="inlineStr">
        <is>
          <t>Already wired up. RLS does the multi-tenant work for you.</t>
        </is>
      </c>
    </row>
    <row r="6" ht="15" customHeight="1" s="24">
      <c r="A6" s="31" t="inlineStr">
        <is>
          <t>balldontlie NFL GOAT, $39.99/mo, 600 req/min</t>
        </is>
      </c>
      <c r="B6" s="48" t="inlineStr">
        <is>
          <t>LOCKED</t>
        </is>
      </c>
      <c r="C6" s="31" t="inlineStr">
        <is>
          <t>A supported contract, not Sleeper's undocumented endpoints. Adds DFS salaries, injuries, play-by-play.</t>
        </is>
      </c>
    </row>
    <row r="7" ht="15" customHeight="1" s="24">
      <c r="A7" s="31" t="inlineStr">
        <is>
          <t>Rarity derived from DFS salary bands</t>
        </is>
      </c>
      <c r="B7" s="48" t="inlineStr">
        <is>
          <t>PROPOSED</t>
        </is>
      </c>
      <c r="C7" s="31" t="inlineStr">
        <is>
          <t>Salary is a weekly market valuation of every player: rarity with zero manual curation, and gated set slots become a query.</t>
        </is>
      </c>
    </row>
    <row r="8" ht="15" customHeight="1" s="24">
      <c r="A8" s="31" t="inlineStr">
        <is>
          <t>Server-authoritative RNG, gems, and lineup locks</t>
        </is>
      </c>
      <c r="B8" s="48" t="inlineStr">
        <is>
          <t>LOCKED</t>
        </is>
      </c>
      <c r="C8" s="31" t="inlineStr">
        <is>
          <t>Testers are your engineer friends. Assume Charles Proxy.</t>
        </is>
      </c>
    </row>
    <row r="9" ht="15" customHeight="1" s="24">
      <c r="A9" s="31" t="inlineStr">
        <is>
          <t>No player photos, logos, or jerseys</t>
        </is>
      </c>
      <c r="B9" s="48" t="inlineStr">
        <is>
          <t>LOCKED</t>
        </is>
      </c>
      <c r="C9" s="31" t="inlineStr">
        <is>
          <t>Names + stats have solid fantasy precedent. Likenesses and marks do not.</t>
        </is>
      </c>
    </row>
    <row r="10" ht="15" customHeight="1" s="24">
      <c r="A10" s="31" t="inlineStr">
        <is>
          <t>Zero IAP in the beta</t>
        </is>
      </c>
      <c r="B10" s="48" t="inlineStr">
        <is>
          <t>LOCKED</t>
        </is>
      </c>
      <c r="C10" s="31" t="inlineStr">
        <is>
          <t>Sidesteps loot-box odds disclosure, StoreKit, and the 30%.</t>
        </is>
      </c>
    </row>
    <row r="11" ht="23.85" customHeight="1" s="24">
      <c r="A11" s="31" t="inlineStr">
        <is>
          <t>Set reward mechanic (gated slots vs points-scaled payout vs duplicate fuel)</t>
        </is>
      </c>
      <c r="B11" s="48" t="inlineStr">
        <is>
          <t>OPEN</t>
        </is>
      </c>
      <c r="C11" s="31" t="inlineStr">
        <is>
          <t>Blocks card schema and faucet rates, both painful to change once people own collections. Decide before task 9 ships Aug 22.</t>
        </is>
      </c>
    </row>
    <row r="12" ht="15" customHeight="1" s="24">
      <c r="A12" s="31" t="inlineStr">
        <is>
          <t>Fantasy scoring rules (PPR? bonuses? tier multipliers?)</t>
        </is>
      </c>
      <c r="B12" s="48" t="inlineStr">
        <is>
          <t>OPEN</t>
        </is>
      </c>
      <c r="C12" s="31" t="inlineStr">
        <is>
          <t>Needed by task 15. Low stakes - raw stats are stored, rescoring is a query.</t>
        </is>
      </c>
    </row>
  </sheetData>
  <conditionalFormatting sqref="B4:B12">
    <cfRule type="cellIs" rank="0" priority="2" equalAverage="0" operator="equal" aboveAverage="0" dxfId="17" text="" percent="0" bottom="0">
      <formula>"OPEN"</formula>
    </cfRule>
    <cfRule type="cellIs" rank="0" priority="3" equalAverage="0" operator="equal" aboveAverage="0" dxfId="18" text="" percent="0" bottom="0">
      <formula>"LOCKED"</formula>
    </cfRule>
    <cfRule type="cellIs" rank="0" priority="4" equalAverage="0" operator="equal" aboveAverage="0" dxfId="19" text="" percent="0" bottom="0">
      <formula>"PROPOSED"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2026-08-18T00:08:37Z</dcterms:created>
  <dcterms:modified xsi:type="dcterms:W3CDTF">2026-08-19T05:51:30Z</dcterms:modified>
  <cp:revision>0</cp:revision>
</cp:coreProperties>
</file>