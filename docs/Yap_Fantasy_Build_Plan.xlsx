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ild Plan" sheetId="1" state="visible" r:id="rId3"/>
    <sheet name="Milestones" sheetId="2" state="visible" r:id="rId4"/>
    <sheet name="Deferred" sheetId="3" state="visible" r:id="rId5"/>
    <sheet name="Risks" sheetId="4" state="visible" r:id="rId6"/>
    <sheet name="Decisions" sheetId="5" state="visible" r:id="rId7"/>
  </sheets>
  <definedNames>
    <definedName function="false" hidden="true" localSheetId="0" name="_xlnm._FilterDatabase" vbProcedure="false">'Build Plan'!$A$4:$J$39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<sst xmlns="http://schemas.openxmlformats.org/spreadsheetml/2006/main" count="356" uniqueCount="236">
  <si>
    <t xml:space="preserve">Yap Fantasy - Build Plan to Kickoff</t>
  </si>
  <si>
    <t xml:space="preserve">Set Status on each row. Milestones tab counts update automatically.</t>
  </si>
  <si>
    <t xml:space="preserve">ID</t>
  </si>
  <si>
    <t xml:space="preserve">Phase</t>
  </si>
  <si>
    <t xml:space="preserve">Task</t>
  </si>
  <si>
    <t xml:space="preserve">Start</t>
  </si>
  <si>
    <t xml:space="preserve">Due</t>
  </si>
  <si>
    <t xml:space="preserve">Days</t>
  </si>
  <si>
    <t xml:space="preserve">Status</t>
  </si>
  <si>
    <t xml:space="preserve">Depends On</t>
  </si>
  <si>
    <t xml:space="preserve">Cut Order</t>
  </si>
  <si>
    <t xml:space="preserve">Notes</t>
  </si>
  <si>
    <t xml:space="preserve">P0 Foundations</t>
  </si>
  <si>
    <t xml:space="preserve">Enroll Apple Developer Program ($99/yr)</t>
  </si>
  <si>
    <t xml:space="preserve">Not started</t>
  </si>
  <si>
    <t xml:space="preserve">Blocker</t>
  </si>
  <si>
    <t xml:space="preserve">Takes 24-48h. Nothing reaches a device until it clears.</t>
  </si>
  <si>
    <t xml:space="preserve">Subscribe balldontlie NFL GOAT ($39.99/mo); store key in Supabase secrets</t>
  </si>
  <si>
    <t xml:space="preserve">600 req/min. Key lives in Edge Functions only.</t>
  </si>
  <si>
    <t xml:space="preserve">Scaffold Expo Router app (TypeScript, expo-router, reanimated, nativewind)</t>
  </si>
  <si>
    <t xml:space="preserve">Verify web AND iOS simulator both render on day one.</t>
  </si>
  <si>
    <t xml:space="preserve">Supabase project + CLI linked + migrations workflow</t>
  </si>
  <si>
    <t xml:space="preserve">2</t>
  </si>
  <si>
    <t xml:space="preserve">Every schema change is a migration file. No dashboard clicks.</t>
  </si>
  <si>
    <t xml:space="preserve">Auth: Supabase email magic link</t>
  </si>
  <si>
    <t xml:space="preserve">3, 4</t>
  </si>
  <si>
    <t xml:space="preserve">Magic link only = no Sign in with Apple needed. Google/X login would force it.</t>
  </si>
  <si>
    <t xml:space="preserve">App Store Connect app record + bundle ID + app icon</t>
  </si>
  <si>
    <t xml:space="preserve">1</t>
  </si>
  <si>
    <t xml:space="preserve">Placeholder icon is fine, it just cannot be empty.</t>
  </si>
  <si>
    <t xml:space="preserve">First EAS dev build installed on your own iPhone</t>
  </si>
  <si>
    <t xml:space="preserve">3, 6</t>
  </si>
  <si>
    <t xml:space="preserve">Signing/provisioning eats 2-3 days. Lose them now, not in September.</t>
  </si>
  <si>
    <t xml:space="preserve">Deploy web build to Vercel/Cloudflare + auto-deploy on push</t>
  </si>
  <si>
    <t xml:space="preserve">3</t>
  </si>
  <si>
    <t xml:space="preserve">expo export --platform web -&gt; static site. Your kickoff insurance.</t>
  </si>
  <si>
    <t xml:space="preserve">P1 Data spine</t>
  </si>
  <si>
    <t xml:space="preserve">Schema v1 migration: profiles, players, teams, cards, card_instances, packs, gems_ledger, stat_lines</t>
  </si>
  <si>
    <t xml:space="preserve">4</t>
  </si>
  <si>
    <t xml:space="preserve">card = player template. card_instance = the copy a user owns. Never merge.</t>
  </si>
  <si>
    <t xml:space="preserve">RLS policies + a test that proves user A cannot read user B's roster</t>
  </si>
  <si>
    <t xml:space="preserve">9</t>
  </si>
  <si>
    <t xml:space="preserve">Write the failing test first. Your testers are engineers.</t>
  </si>
  <si>
    <t xml:space="preserve">StatsProvider interface + balldontlie adapter</t>
  </si>
  <si>
    <t xml:space="preserve">Nothing above this layer imports balldontlie types.</t>
  </si>
  <si>
    <t xml:space="preserve">Nightly players/teams sync Edge Function + cron</t>
  </si>
  <si>
    <t xml:space="preserve">11</t>
  </si>
  <si>
    <t xml:space="preserve">Team rosters only exist from the 2025 season onward.</t>
  </si>
  <si>
    <t xml:space="preserve">Weekly DFS salary snapshot -&gt; rarity band assignment</t>
  </si>
  <si>
    <t xml:space="preserve">11, 12</t>
  </si>
  <si>
    <t xml:space="preserve">Persist every snapshot - slates disappear. Fall back to 2025 season stats.</t>
  </si>
  <si>
    <t xml:space="preserve">Stat ingestion: games -&gt; game_ids -&gt; /stats paginated -&gt; raw stat_lines</t>
  </si>
  <si>
    <t xml:space="preserve">/stats has no week param and no fantasy points. Resolve /games -&gt; ids first.</t>
  </si>
  <si>
    <t xml:space="preserve">Scoring engine: pure fn(stat_line, rules_version) -&gt; points, with unit tests</t>
  </si>
  <si>
    <t xml:space="preserve">14</t>
  </si>
  <si>
    <t xml:space="preserve">Store raw stats AND points. Scoring will change; recompute, never re-ingest.</t>
  </si>
  <si>
    <t xml:space="preserve">VALIDATE ingestion against live preseason games</t>
  </si>
  <si>
    <t xml:space="preserve">14, 15</t>
  </si>
  <si>
    <t xml:space="preserve">HARD DEADLINE. Preseason ends ~Aug 29; then no live data until Sept 9.</t>
  </si>
  <si>
    <t xml:space="preserve">P2 Core loop</t>
  </si>
  <si>
    <t xml:space="preserve">Card component: rarity-driven palette, position glyph, team as 3-letter text</t>
  </si>
  <si>
    <t xml:space="preserve">No logos, jerseys, or photos. Palette keyed to rarity, not team.</t>
  </si>
  <si>
    <t xml:space="preserve">Server-side pack opening: Postgres RPC, weighted RNG, transactional gem debit</t>
  </si>
  <si>
    <t xml:space="preserve">9, 13</t>
  </si>
  <si>
    <t xml:space="preserve">RNG and gem math never leave the server. Assume Charles Proxy.</t>
  </si>
  <si>
    <t xml:space="preserve">Pack open UI + reveal animation (reanimated, works on web + iOS)</t>
  </si>
  <si>
    <t xml:space="preserve">17, 18</t>
  </si>
  <si>
    <t xml:space="preserve">First thing to downgrade. A static reveal still works.</t>
  </si>
  <si>
    <t xml:space="preserve">Collection screen: grid, filter by position/rarity, card detail</t>
  </si>
  <si>
    <t xml:space="preserve">17</t>
  </si>
  <si>
    <t xml:space="preserve">Virtualize the list now, not later.</t>
  </si>
  <si>
    <t xml:space="preserve">Lineup builder + server-enforced weekly lock</t>
  </si>
  <si>
    <t xml:space="preserve">9, 20</t>
  </si>
  <si>
    <t xml:space="preserve">Lock time computed server-side. Never trust a client clock.</t>
  </si>
  <si>
    <t xml:space="preserve">Gem faucet v1: weekly grant + earn from weekly score</t>
  </si>
  <si>
    <t xml:space="preserve">18</t>
  </si>
  <si>
    <t xml:space="preserve">Weekly grant only here. Start stingy - you can always grant more.</t>
  </si>
  <si>
    <t xml:space="preserve">P3 Score+Board</t>
  </si>
  <si>
    <t xml:space="preserve">Live scoring job: 5-min cron on gamedays -&gt; weekly_scores</t>
  </si>
  <si>
    <t xml:space="preserve">15, 21</t>
  </si>
  <si>
    <t xml:space="preserve">10 calls per sweep vs a 600/min ceiling. Do not over-engineer caching.</t>
  </si>
  <si>
    <t xml:space="preserve">Global leaderboard view + screen</t>
  </si>
  <si>
    <t xml:space="preserve">23</t>
  </si>
  <si>
    <t xml:space="preserve">One global board. No leagues or friend lists in the beta.</t>
  </si>
  <si>
    <t xml:space="preserve">Injury-status warning on the lineup screen</t>
  </si>
  <si>
    <t xml:space="preserve">12</t>
  </si>
  <si>
    <t xml:space="preserve">Cheap win - the injuries endpoint is already in your tier.</t>
  </si>
  <si>
    <t xml:space="preserve">Push notifications: lineup lock reminder + weekly results</t>
  </si>
  <si>
    <t xml:space="preserve">7, 23</t>
  </si>
  <si>
    <t xml:space="preserve">FIRST THING CUT. iOS only anyway.</t>
  </si>
  <si>
    <t xml:space="preserve">P4 Ship</t>
  </si>
  <si>
    <t xml:space="preserve">Privacy policy page + support URL + App Privacy questionnaire</t>
  </si>
  <si>
    <t xml:space="preserve">8</t>
  </si>
  <si>
    <t xml:space="preserve">Blocks submission. Everyone forgets this and loses a day.</t>
  </si>
  <si>
    <t xml:space="preserve">Internal TestFlight build to friends (up to 100, NO review)</t>
  </si>
  <si>
    <t xml:space="preserve">7, 21</t>
  </si>
  <si>
    <t xml:space="preserve">Each tester needs an App Store Connect role. Invite them now.</t>
  </si>
  <si>
    <t xml:space="preserve">FEATURE FREEZE</t>
  </si>
  <si>
    <t xml:space="preserve">22, 24</t>
  </si>
  <si>
    <t xml:space="preserve">Bugs only after this line.</t>
  </si>
  <si>
    <t xml:space="preserve">Submit external TestFlight for Beta App Review</t>
  </si>
  <si>
    <t xml:space="preserve">27, 29</t>
  </si>
  <si>
    <t xml:space="preserve">1-2 days typical. This date budgets one rejection round.</t>
  </si>
  <si>
    <t xml:space="preserve">Abuse pass: try to grant yourself gems and set a lineup post-lock</t>
  </si>
  <si>
    <t xml:space="preserve">18, 21, 22</t>
  </si>
  <si>
    <t xml:space="preserve">Attack your own API with curl. If you can do it, they will.</t>
  </si>
  <si>
    <t xml:space="preserve">Bug fix buffer</t>
  </si>
  <si>
    <t xml:space="preserve">29</t>
  </si>
  <si>
    <t xml:space="preserve">Buffer</t>
  </si>
  <si>
    <t xml:space="preserve">Six days. It will not feel like enough. It never does.</t>
  </si>
  <si>
    <t xml:space="preserve">Friends dry run: simulated Week 0 end-to-end</t>
  </si>
  <si>
    <t xml:space="preserve">28</t>
  </si>
  <si>
    <t xml:space="preserve">Full loop: pack -&gt; lineup -&gt; lock -&gt; score -&gt; board. Fake stats if needed.</t>
  </si>
  <si>
    <t xml:space="preserve">Set up EAS Update (OTA) channel</t>
  </si>
  <si>
    <t xml:space="preserve">30</t>
  </si>
  <si>
    <t xml:space="preserve">Push JS fixes mid-beta without another App Review. Worth the hour.</t>
  </si>
  <si>
    <t xml:space="preserve">P5 Kickoff</t>
  </si>
  <si>
    <t xml:space="preserve">Week 1 opener - monitor ingestion live</t>
  </si>
  <si>
    <t xml:space="preserve">33</t>
  </si>
  <si>
    <t xml:space="preserve">-</t>
  </si>
  <si>
    <t xml:space="preserve">Wednesday opener (Thursday game is in Australia). Watch the first sweep.</t>
  </si>
  <si>
    <t xml:space="preserve">Milestones &amp; Progress</t>
  </si>
  <si>
    <t xml:space="preserve">PROGRESS</t>
  </si>
  <si>
    <t xml:space="preserve">Total tasks</t>
  </si>
  <si>
    <t xml:space="preserve">Done</t>
  </si>
  <si>
    <t xml:space="preserve">In progress</t>
  </si>
  <si>
    <t xml:space="preserve">Blocked</t>
  </si>
  <si>
    <t xml:space="preserve">Cut</t>
  </si>
  <si>
    <t xml:space="preserve">% complete</t>
  </si>
  <si>
    <t xml:space="preserve">Blockers left</t>
  </si>
  <si>
    <t xml:space="preserve">Days to kickoff</t>
  </si>
  <si>
    <t xml:space="preserve">MILESTONES</t>
  </si>
  <si>
    <t xml:space="preserve">Date</t>
  </si>
  <si>
    <t xml:space="preserve">Milestone</t>
  </si>
  <si>
    <t xml:space="preserve">Why it matters</t>
  </si>
  <si>
    <t xml:space="preserve">Hit?</t>
  </si>
  <si>
    <t xml:space="preserve">Dev build on your phone + web deployed</t>
  </si>
  <si>
    <t xml:space="preserve">If this slips, everything slips.</t>
  </si>
  <si>
    <t xml:space="preserve">No</t>
  </si>
  <si>
    <t xml:space="preserve">Ingestion produces real fantasy points from real games</t>
  </si>
  <si>
    <t xml:space="preserve">The moment the app has a reason to exist.</t>
  </si>
  <si>
    <t xml:space="preserve">Preseason validation complete</t>
  </si>
  <si>
    <t xml:space="preserve">HARD DEADLINE - last live data before Week 1.</t>
  </si>
  <si>
    <t xml:space="preserve">Core loop playable end to end</t>
  </si>
  <si>
    <t xml:space="preserve">Open pack -&gt; collection -&gt; lineup -&gt; lock.</t>
  </si>
  <si>
    <t xml:space="preserve">Internal TestFlight in friends' hands</t>
  </si>
  <si>
    <t xml:space="preserve">No App Review needed. Real users, 8 days early.</t>
  </si>
  <si>
    <t xml:space="preserve">Feature freeze + external TestFlight submitted</t>
  </si>
  <si>
    <t xml:space="preserve">Budgets one rejection round.</t>
  </si>
  <si>
    <t xml:space="preserve">Friends dry run complete</t>
  </si>
  <si>
    <t xml:space="preserve">Simulated Week 0, full loop.</t>
  </si>
  <si>
    <t xml:space="preserve">KICKOFF - NFL Week 1 opener</t>
  </si>
  <si>
    <t xml:space="preserve">Wednesday. 22 days from Aug 18.</t>
  </si>
  <si>
    <t xml:space="preserve">Explicitly NOT in the Sept 9 beta</t>
  </si>
  <si>
    <t xml:space="preserve">A contract with yourself. Anything that creeps back in costs the kickoff date.</t>
  </si>
  <si>
    <t xml:space="preserve">Feature</t>
  </si>
  <si>
    <t xml:space="preserve">Target</t>
  </si>
  <si>
    <t xml:space="preserve">Why it waits</t>
  </si>
  <si>
    <t xml:space="preserve">Sets / Museum</t>
  </si>
  <si>
    <t xml:space="preserve">Ship Week 3</t>
  </si>
  <si>
    <t xml:space="preserve">Nobody can complete a set in Week 1 anyway. Buys three weeks.</t>
  </si>
  <si>
    <t xml:space="preserve">Card selling</t>
  </si>
  <si>
    <t xml:space="preserve">Late Sept</t>
  </si>
  <si>
    <t xml:space="preserve">Blocked on the set-reward decision. Gem sinks balance together.</t>
  </si>
  <si>
    <t xml:space="preserve">Tier ranking (museum duplicates as fuel)</t>
  </si>
  <si>
    <t xml:space="preserve">Makes duplicate pulls valuable. Not day-one important.</t>
  </si>
  <si>
    <t xml:space="preserve">Free agent market</t>
  </si>
  <si>
    <t xml:space="preserve">October</t>
  </si>
  <si>
    <t xml:space="preserve">Adds an economy AND a moderation surface.</t>
  </si>
  <si>
    <t xml:space="preserve">Discord bot (read-only)</t>
  </si>
  <si>
    <t xml:space="preserve">Lock + pull results to a channel, OAuth-linked. A weekend once core is stable.</t>
  </si>
  <si>
    <t xml:space="preserve">In-app purchases</t>
  </si>
  <si>
    <t xml:space="preserve">Not in beta</t>
  </si>
  <si>
    <t xml:space="preserve">Earned gems only. Tests fun before monetization.</t>
  </si>
  <si>
    <t xml:space="preserve">Profile beyond name + avatar</t>
  </si>
  <si>
    <t xml:space="preserve">No bios, stats pages, or follower graph.</t>
  </si>
  <si>
    <t xml:space="preserve">Real player art</t>
  </si>
  <si>
    <t xml:space="preserve">When you generate it</t>
  </si>
  <si>
    <t xml:space="preserve">Position glyph + rarity palette. Layout does not change when art lands.</t>
  </si>
  <si>
    <t xml:space="preserve">Risks &amp; Mitigations</t>
  </si>
  <si>
    <t xml:space="preserve">Risk</t>
  </si>
  <si>
    <t xml:space="preserve">Likelihood</t>
  </si>
  <si>
    <t xml:space="preserve">Impact if it lands</t>
  </si>
  <si>
    <t xml:space="preserve">Mitigation</t>
  </si>
  <si>
    <t xml:space="preserve">Apple Developer enrollment stalls</t>
  </si>
  <si>
    <t xml:space="preserve">High</t>
  </si>
  <si>
    <t xml:space="preserve">Nothing reaches a phone</t>
  </si>
  <si>
    <t xml:space="preserve">Started Aug 18. Web build ships regardless.</t>
  </si>
  <si>
    <t xml:space="preserve">Beta App Review rejects the external build</t>
  </si>
  <si>
    <t xml:space="preserve">Medium</t>
  </si>
  <si>
    <t xml:space="preserve">Friends cannot install by Sept 9</t>
  </si>
  <si>
    <t xml:space="preserve">Web live Aug 21 + internal TestFlight covers 100 friends without review.</t>
  </si>
  <si>
    <t xml:space="preserve">Preseason data window closes ~Aug 29</t>
  </si>
  <si>
    <t xml:space="preserve">Ingestion untested against live data until kickoff</t>
  </si>
  <si>
    <t xml:space="preserve">Task 16 is hard, not soft. If it slips, replay 2025 stat lines.</t>
  </si>
  <si>
    <t xml:space="preserve">No DFS slates in preseason / bye weeks</t>
  </si>
  <si>
    <t xml:space="preserve">Rarity assignment has gaps</t>
  </si>
  <si>
    <t xml:space="preserve">Fallback tier from 2025 season stats. Persist every snapshot.</t>
  </si>
  <si>
    <t xml:space="preserve">Scoring rules change mid-beta</t>
  </si>
  <si>
    <t xml:space="preserve">Certain</t>
  </si>
  <si>
    <t xml:space="preserve">Rescoring pain</t>
  </si>
  <si>
    <t xml:space="preserve">Raw stat_lines stored apart from points, rules versioned. Recompute is a query.</t>
  </si>
  <si>
    <t xml:space="preserve">balldontlie /stats has no week param</t>
  </si>
  <si>
    <t xml:space="preserve">Naive ingestion is wrong</t>
  </si>
  <si>
    <t xml:space="preserve">Resolve week -&gt; game_ids via /games. Handled in task 14.</t>
  </si>
  <si>
    <t xml:space="preserve">Undocumented API shape drift</t>
  </si>
  <si>
    <t xml:space="preserve">Low</t>
  </si>
  <si>
    <t xml:space="preserve">Ingestion breaks silently</t>
  </si>
  <si>
    <t xml:space="preserve">StatsProvider (task 11) makes a swap one file. Alert on zero-row sweeps.</t>
  </si>
  <si>
    <t xml:space="preserve">Scope creep from your own good ideas</t>
  </si>
  <si>
    <t xml:space="preserve">Miss kickoff</t>
  </si>
  <si>
    <t xml:space="preserve">The Deferred tab is the contract. Sept 2 freeze enforces it.</t>
  </si>
  <si>
    <t xml:space="preserve">Locked decisions &amp; open questions</t>
  </si>
  <si>
    <t xml:space="preserve">Decision</t>
  </si>
  <si>
    <t xml:space="preserve">Rationale / what unblocks it</t>
  </si>
  <si>
    <t xml:space="preserve">Expo Router universal app (one codebase -&gt; iOS + web)</t>
  </si>
  <si>
    <t xml:space="preserve">LOCKED</t>
  </si>
  <si>
    <t xml:space="preserve">One codebase, file-based routing, native on iOS and React Native Web in the browser. A separate Next.js app is the trap on a first universal build.</t>
  </si>
  <si>
    <t xml:space="preserve">Supabase for auth, Postgres, Edge Functions, cron</t>
  </si>
  <si>
    <t xml:space="preserve">Already wired up. RLS does the multi-tenant work for you.</t>
  </si>
  <si>
    <t xml:space="preserve">balldontlie NFL GOAT, $39.99/mo, 600 req/min</t>
  </si>
  <si>
    <t xml:space="preserve">A supported contract, not Sleeper's undocumented endpoints. Adds DFS salaries, injuries, play-by-play.</t>
  </si>
  <si>
    <t xml:space="preserve">Rarity derived from DFS salary bands</t>
  </si>
  <si>
    <t xml:space="preserve">PROPOSED</t>
  </si>
  <si>
    <t xml:space="preserve">Salary is a weekly market valuation of every player: rarity with zero manual curation, and gated set slots become a query.</t>
  </si>
  <si>
    <t xml:space="preserve">Server-authoritative RNG, gems, and lineup locks</t>
  </si>
  <si>
    <t xml:space="preserve">Testers are your engineer friends. Assume Charles Proxy.</t>
  </si>
  <si>
    <t xml:space="preserve">No player photos, logos, or jerseys</t>
  </si>
  <si>
    <t xml:space="preserve">Names + stats have solid fantasy precedent. Likenesses and marks do not.</t>
  </si>
  <si>
    <t xml:space="preserve">Zero IAP in the beta</t>
  </si>
  <si>
    <t xml:space="preserve">Sidesteps loot-box odds disclosure, StoreKit, and the 30%.</t>
  </si>
  <si>
    <t xml:space="preserve">Set reward mechanic (gated slots vs points-scaled payout vs duplicate fuel)</t>
  </si>
  <si>
    <t xml:space="preserve">OPEN</t>
  </si>
  <si>
    <t xml:space="preserve">Blocks card schema and faucet rates, both painful to change once people own collections. Decide before task 9 ships Aug 22.</t>
  </si>
  <si>
    <t xml:space="preserve">Fantasy scoring rules (PPR? bonuses? tier multipliers?)</t>
  </si>
  <si>
    <t xml:space="preserve">Needed by task 15. Low stakes - raw stats are stored, rescoring is a query.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</si>
</sst>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d\ mmm\ d"/>
    <numFmt numFmtId="166" formatCode="General"/>
    <numFmt numFmtId="167" formatCode="0.0%"/>
    <numFmt numFmtId="168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44"/>
      <name val="Arial"/>
      <family val="0"/>
      <charset val="1"/>
    </font>
    <font>
      <i val="true"/>
      <sz val="9"/>
      <color rgb="FF66708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9"/>
      <color rgb="FF475467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b val="true"/>
      <sz val="10"/>
      <color rgb="FFB4231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E8EEF7"/>
        <bgColor rgb="FFEAECF0"/>
      </patternFill>
    </fill>
    <fill>
      <patternFill patternType="solid">
        <fgColor rgb="FFE6F4EA"/>
        <bgColor rgb="FFE8F7F7"/>
      </patternFill>
    </fill>
    <fill>
      <patternFill patternType="solid">
        <fgColor rgb="FFFFF4E5"/>
        <bgColor rgb="FFFDE8E8"/>
      </patternFill>
    </fill>
    <fill>
      <patternFill patternType="solid">
        <fgColor rgb="FFF3E8FD"/>
        <bgColor rgb="FFEAECF0"/>
      </patternFill>
    </fill>
    <fill>
      <patternFill patternType="solid">
        <fgColor rgb="FFFDE8E8"/>
        <bgColor rgb="FFF3E8FD"/>
      </patternFill>
    </fill>
    <fill>
      <patternFill patternType="solid">
        <fgColor rgb="FFE8F7F7"/>
        <bgColor rgb="FFE6F4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6F4EA"/>
          <bgColor rgb="FF000000"/>
        </patternFill>
      </fill>
    </dxf>
    <dxf>
      <fill>
        <patternFill patternType="solid">
          <fgColor rgb="FFE8EEF7"/>
          <bgColor rgb="FF000000"/>
        </patternFill>
      </fill>
    </dxf>
    <dxf>
      <fill>
        <patternFill patternType="solid">
          <fgColor rgb="FFE8F7F7"/>
          <bgColor rgb="FF000000"/>
        </patternFill>
      </fill>
    </dxf>
    <dxf>
      <fill>
        <patternFill patternType="solid">
          <fgColor rgb="FFF3E8FD"/>
          <bgColor rgb="FF000000"/>
        </patternFill>
      </fill>
    </dxf>
    <dxf>
      <fill>
        <patternFill patternType="solid">
          <fgColor rgb="FFFDE8E8"/>
          <bgColor rgb="FF000000"/>
        </patternFill>
      </fill>
    </dxf>
    <dxf>
      <fill>
        <patternFill patternType="solid">
          <fgColor rgb="FFFFF4E5"/>
          <bgColor rgb="FF000000"/>
        </patternFill>
      </fill>
    </dxf>
    <dxf>
      <fill>
        <patternFill patternType="solid">
          <fgColor rgb="FFB42318"/>
          <bgColor rgb="FF000000"/>
        </patternFill>
      </fill>
    </dxf>
    <dxf>
      <fill>
        <patternFill patternType="solid">
          <fgColor rgb="FF475467"/>
          <bgColor rgb="FF000000"/>
        </patternFill>
      </fill>
    </dxf>
    <dxf>
      <font>
        <name val="Arial"/>
        <charset val="1"/>
        <family val="0"/>
        <color rgb="FF10643A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color rgb="FF7F6000"/>
        <sz val="10"/>
      </font>
      <fill>
        <patternFill>
          <bgColor rgb="FFFFEB9C"/>
        </patternFill>
      </fill>
    </dxf>
    <dxf>
      <font>
        <name val="Arial"/>
        <charset val="1"/>
        <family val="0"/>
        <color rgb="FF98A2B3"/>
        <sz val="10"/>
      </font>
      <fill>
        <patternFill>
          <bgColor rgb="FFEAECF0"/>
        </patternFill>
      </fill>
    </dxf>
    <dxf>
      <font>
        <name val="Arial"/>
        <charset val="1"/>
        <family val="0"/>
        <b val="1"/>
        <color rgb="FFB42318"/>
        <sz val="10"/>
      </font>
    </dxf>
    <dxf>
      <font>
        <name val="Arial"/>
        <charset val="1"/>
        <family val="0"/>
        <color rgb="FF7F3300"/>
        <sz val="10"/>
      </font>
      <fill>
        <patternFill>
          <bgColor rgb="FFFFD9B3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10643A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7F6000"/>
        <sz val="1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0643A"/>
      <rgbColor rgb="FF000080"/>
      <rgbColor rgb="FF7F6000"/>
      <rgbColor rgb="FF800080"/>
      <rgbColor rgb="FF008080"/>
      <rgbColor rgb="FFFFC7CE"/>
      <rgbColor rgb="FF808080"/>
      <rgbColor rgb="FFEAECF0"/>
      <rgbColor rgb="FFB42318"/>
      <rgbColor rgb="FFFFF4E5"/>
      <rgbColor rgb="FFE8F7F7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4EA"/>
      <rgbColor rgb="FFC6EFCE"/>
      <rgbColor rgb="FFFFEB9C"/>
      <rgbColor rgb="FFE8EEF7"/>
      <rgbColor rgb="FFFDE8E8"/>
      <rgbColor rgb="FFF3E8FD"/>
      <rgbColor rgb="FFFFD9B3"/>
      <rgbColor rgb="FF3366FF"/>
      <rgbColor rgb="FF33CCCC"/>
      <rgbColor rgb="FF99CC00"/>
      <rgbColor rgb="FFFFCC00"/>
      <rgbColor rgb="FFFF9900"/>
      <rgbColor rgb="FFFF6600"/>
      <rgbColor rgb="FF667085"/>
      <rgbColor rgb="FF98A2B3"/>
      <rgbColor rgb="FF003366"/>
      <rgbColor rgb="FF339966"/>
      <rgbColor rgb="FF003300"/>
      <rgbColor rgb="FF333300"/>
      <rgbColor rgb="FF7F3300"/>
      <rgbColor rgb="FF993366"/>
      <rgbColor rgb="FF475467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">
  <a:themeElements>
    <a:clrScheme name="t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t">
      <a:majorFont>
        <a:latin typeface="Arial" pitchFamily="0" charset="1"/>
        <a:ea typeface=""/>
        <a:cs typeface=""/>
      </a:majorFont>
      <a:minorFont>
        <a:latin typeface="Arial" pitchFamily="0" charset="1"/>
        <a:ea typeface=""/>
        <a:cs typeface="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0"/>
        <a:ln w="0"/>
        <a:ln w="0"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7"/>
    <col collapsed="false" customWidth="true" hidden="false" outlineLevel="0" max="3" min="3" style="0" width="56"/>
    <col collapsed="false" customWidth="true" hidden="false" outlineLevel="0" max="5" min="4" style="0" width="12"/>
    <col collapsed="false" customWidth="true" hidden="false" outlineLevel="0" max="6" min="6" style="0" width="7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6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n">
        <v>1</v>
      </c>
      <c r="B5" s="5" t="s">
        <v>12</v>
      </c>
      <c r="C5" s="6" t="s">
        <v>13</v>
      </c>
      <c r="D5" s="7" t="n">
        <v>46252</v>
      </c>
      <c r="E5" s="7" t="n">
        <v>46252</v>
      </c>
      <c r="F5" s="4" t="n">
        <f aca="false">E5-D5+1</f>
        <v>1</v>
      </c>
      <c r="G5" s="4" t="s">
        <v>14</v>
      </c>
      <c r="H5" s="8"/>
      <c r="I5" s="4" t="s">
        <v>15</v>
      </c>
      <c r="J5" s="9" t="s">
        <v>16</v>
      </c>
    </row>
    <row r="6" customFormat="false" ht="23.85" hidden="false" customHeight="false" outlineLevel="0" collapsed="false">
      <c r="A6" s="4" t="n">
        <v>2</v>
      </c>
      <c r="B6" s="5" t="s">
        <v>12</v>
      </c>
      <c r="C6" s="6" t="s">
        <v>17</v>
      </c>
      <c r="D6" s="7" t="n">
        <v>46252</v>
      </c>
      <c r="E6" s="7" t="n">
        <v>46252</v>
      </c>
      <c r="F6" s="4" t="n">
        <f aca="false">E6-D6+1</f>
        <v>1</v>
      </c>
      <c r="G6" s="4" t="s">
        <v>14</v>
      </c>
      <c r="H6" s="8"/>
      <c r="I6" s="4" t="s">
        <v>15</v>
      </c>
      <c r="J6" s="9" t="s">
        <v>18</v>
      </c>
    </row>
    <row r="7" customFormat="false" ht="23.85" hidden="false" customHeight="false" outlineLevel="0" collapsed="false">
      <c r="A7" s="4" t="n">
        <v>3</v>
      </c>
      <c r="B7" s="5" t="s">
        <v>12</v>
      </c>
      <c r="C7" s="6" t="s">
        <v>19</v>
      </c>
      <c r="D7" s="7" t="n">
        <v>46252</v>
      </c>
      <c r="E7" s="7" t="n">
        <v>46253</v>
      </c>
      <c r="F7" s="4" t="n">
        <f aca="false">E7-D7+1</f>
        <v>2</v>
      </c>
      <c r="G7" s="4" t="s">
        <v>14</v>
      </c>
      <c r="H7" s="8"/>
      <c r="I7" s="4" t="s">
        <v>15</v>
      </c>
      <c r="J7" s="9" t="s">
        <v>20</v>
      </c>
    </row>
    <row r="8" customFormat="false" ht="15" hidden="false" customHeight="false" outlineLevel="0" collapsed="false">
      <c r="A8" s="4" t="n">
        <v>4</v>
      </c>
      <c r="B8" s="5" t="s">
        <v>12</v>
      </c>
      <c r="C8" s="6" t="s">
        <v>21</v>
      </c>
      <c r="D8" s="7" t="n">
        <v>46253</v>
      </c>
      <c r="E8" s="7" t="n">
        <v>46253</v>
      </c>
      <c r="F8" s="4" t="n">
        <f aca="false">E8-D8+1</f>
        <v>1</v>
      </c>
      <c r="G8" s="4" t="s">
        <v>14</v>
      </c>
      <c r="H8" s="8" t="s">
        <v>22</v>
      </c>
      <c r="I8" s="4" t="s">
        <v>15</v>
      </c>
      <c r="J8" s="9" t="s">
        <v>23</v>
      </c>
    </row>
    <row r="9" customFormat="false" ht="15" hidden="false" customHeight="false" outlineLevel="0" collapsed="false">
      <c r="A9" s="4" t="n">
        <v>5</v>
      </c>
      <c r="B9" s="5" t="s">
        <v>12</v>
      </c>
      <c r="C9" s="6" t="s">
        <v>24</v>
      </c>
      <c r="D9" s="7" t="n">
        <v>46253</v>
      </c>
      <c r="E9" s="7" t="n">
        <v>46254</v>
      </c>
      <c r="F9" s="4" t="n">
        <f aca="false">E9-D9+1</f>
        <v>2</v>
      </c>
      <c r="G9" s="4" t="s">
        <v>14</v>
      </c>
      <c r="H9" s="8" t="s">
        <v>25</v>
      </c>
      <c r="I9" s="4" t="s">
        <v>15</v>
      </c>
      <c r="J9" s="9" t="s">
        <v>26</v>
      </c>
    </row>
    <row r="10" customFormat="false" ht="15" hidden="false" customHeight="false" outlineLevel="0" collapsed="false">
      <c r="A10" s="4" t="n">
        <v>6</v>
      </c>
      <c r="B10" s="5" t="s">
        <v>12</v>
      </c>
      <c r="C10" s="6" t="s">
        <v>27</v>
      </c>
      <c r="D10" s="7" t="n">
        <v>46254</v>
      </c>
      <c r="E10" s="7" t="n">
        <v>46254</v>
      </c>
      <c r="F10" s="4" t="n">
        <f aca="false">E10-D10+1</f>
        <v>1</v>
      </c>
      <c r="G10" s="4" t="s">
        <v>14</v>
      </c>
      <c r="H10" s="8" t="s">
        <v>28</v>
      </c>
      <c r="I10" s="4" t="s">
        <v>15</v>
      </c>
      <c r="J10" s="9" t="s">
        <v>29</v>
      </c>
    </row>
    <row r="11" customFormat="false" ht="15" hidden="false" customHeight="false" outlineLevel="0" collapsed="false">
      <c r="A11" s="4" t="n">
        <v>7</v>
      </c>
      <c r="B11" s="5" t="s">
        <v>12</v>
      </c>
      <c r="C11" s="6" t="s">
        <v>30</v>
      </c>
      <c r="D11" s="7" t="n">
        <v>46254</v>
      </c>
      <c r="E11" s="7" t="n">
        <v>46255</v>
      </c>
      <c r="F11" s="4" t="n">
        <f aca="false">E11-D11+1</f>
        <v>2</v>
      </c>
      <c r="G11" s="4" t="s">
        <v>14</v>
      </c>
      <c r="H11" s="8" t="s">
        <v>31</v>
      </c>
      <c r="I11" s="4" t="s">
        <v>15</v>
      </c>
      <c r="J11" s="9" t="s">
        <v>32</v>
      </c>
    </row>
    <row r="12" customFormat="false" ht="15" hidden="false" customHeight="false" outlineLevel="0" collapsed="false">
      <c r="A12" s="4" t="n">
        <v>8</v>
      </c>
      <c r="B12" s="5" t="s">
        <v>12</v>
      </c>
      <c r="C12" s="6" t="s">
        <v>33</v>
      </c>
      <c r="D12" s="7" t="n">
        <v>46255</v>
      </c>
      <c r="E12" s="7" t="n">
        <v>46255</v>
      </c>
      <c r="F12" s="4" t="n">
        <f aca="false">E12-D12+1</f>
        <v>1</v>
      </c>
      <c r="G12" s="4" t="s">
        <v>14</v>
      </c>
      <c r="H12" s="8" t="s">
        <v>34</v>
      </c>
      <c r="I12" s="4" t="s">
        <v>15</v>
      </c>
      <c r="J12" s="9" t="s">
        <v>35</v>
      </c>
    </row>
    <row r="13" customFormat="false" ht="23.85" hidden="false" customHeight="false" outlineLevel="0" collapsed="false">
      <c r="A13" s="4" t="n">
        <v>9</v>
      </c>
      <c r="B13" s="10" t="s">
        <v>36</v>
      </c>
      <c r="C13" s="6" t="s">
        <v>37</v>
      </c>
      <c r="D13" s="7" t="n">
        <v>46254</v>
      </c>
      <c r="E13" s="7" t="n">
        <v>46256</v>
      </c>
      <c r="F13" s="4" t="n">
        <f aca="false">E13-D13+1</f>
        <v>3</v>
      </c>
      <c r="G13" s="4" t="s">
        <v>14</v>
      </c>
      <c r="H13" s="8" t="s">
        <v>38</v>
      </c>
      <c r="I13" s="4" t="s">
        <v>15</v>
      </c>
      <c r="J13" s="9" t="s">
        <v>39</v>
      </c>
    </row>
    <row r="14" customFormat="false" ht="15" hidden="false" customHeight="false" outlineLevel="0" collapsed="false">
      <c r="A14" s="4" t="n">
        <v>10</v>
      </c>
      <c r="B14" s="10" t="s">
        <v>36</v>
      </c>
      <c r="C14" s="6" t="s">
        <v>40</v>
      </c>
      <c r="D14" s="7" t="n">
        <v>46256</v>
      </c>
      <c r="E14" s="7" t="n">
        <v>46256</v>
      </c>
      <c r="F14" s="4" t="n">
        <f aca="false">E14-D14+1</f>
        <v>1</v>
      </c>
      <c r="G14" s="4" t="s">
        <v>14</v>
      </c>
      <c r="H14" s="8" t="s">
        <v>41</v>
      </c>
      <c r="I14" s="4" t="s">
        <v>15</v>
      </c>
      <c r="J14" s="9" t="s">
        <v>42</v>
      </c>
    </row>
    <row r="15" customFormat="false" ht="15" hidden="false" customHeight="false" outlineLevel="0" collapsed="false">
      <c r="A15" s="4" t="n">
        <v>11</v>
      </c>
      <c r="B15" s="10" t="s">
        <v>36</v>
      </c>
      <c r="C15" s="6" t="s">
        <v>43</v>
      </c>
      <c r="D15" s="7" t="n">
        <v>46255</v>
      </c>
      <c r="E15" s="7" t="n">
        <v>46256</v>
      </c>
      <c r="F15" s="4" t="n">
        <f aca="false">E15-D15+1</f>
        <v>2</v>
      </c>
      <c r="G15" s="4" t="s">
        <v>14</v>
      </c>
      <c r="H15" s="8" t="s">
        <v>22</v>
      </c>
      <c r="I15" s="4" t="s">
        <v>15</v>
      </c>
      <c r="J15" s="9" t="s">
        <v>44</v>
      </c>
    </row>
    <row r="16" customFormat="false" ht="15" hidden="false" customHeight="false" outlineLevel="0" collapsed="false">
      <c r="A16" s="4" t="n">
        <v>12</v>
      </c>
      <c r="B16" s="10" t="s">
        <v>36</v>
      </c>
      <c r="C16" s="6" t="s">
        <v>45</v>
      </c>
      <c r="D16" s="7" t="n">
        <v>46257</v>
      </c>
      <c r="E16" s="7" t="n">
        <v>46257</v>
      </c>
      <c r="F16" s="4" t="n">
        <f aca="false">E16-D16+1</f>
        <v>1</v>
      </c>
      <c r="G16" s="4" t="s">
        <v>14</v>
      </c>
      <c r="H16" s="8" t="s">
        <v>46</v>
      </c>
      <c r="I16" s="4" t="s">
        <v>38</v>
      </c>
      <c r="J16" s="9" t="s">
        <v>47</v>
      </c>
    </row>
    <row r="17" customFormat="false" ht="15" hidden="false" customHeight="false" outlineLevel="0" collapsed="false">
      <c r="A17" s="4" t="n">
        <v>13</v>
      </c>
      <c r="B17" s="10" t="s">
        <v>36</v>
      </c>
      <c r="C17" s="6" t="s">
        <v>48</v>
      </c>
      <c r="D17" s="7" t="n">
        <v>46257</v>
      </c>
      <c r="E17" s="7" t="n">
        <v>46258</v>
      </c>
      <c r="F17" s="4" t="n">
        <f aca="false">E17-D17+1</f>
        <v>2</v>
      </c>
      <c r="G17" s="4" t="s">
        <v>14</v>
      </c>
      <c r="H17" s="8" t="s">
        <v>49</v>
      </c>
      <c r="I17" s="4" t="s">
        <v>34</v>
      </c>
      <c r="J17" s="9" t="s">
        <v>50</v>
      </c>
    </row>
    <row r="18" customFormat="false" ht="23.85" hidden="false" customHeight="false" outlineLevel="0" collapsed="false">
      <c r="A18" s="4" t="n">
        <v>14</v>
      </c>
      <c r="B18" s="10" t="s">
        <v>36</v>
      </c>
      <c r="C18" s="6" t="s">
        <v>51</v>
      </c>
      <c r="D18" s="7" t="n">
        <v>46258</v>
      </c>
      <c r="E18" s="7" t="n">
        <v>46259</v>
      </c>
      <c r="F18" s="4" t="n">
        <f aca="false">E18-D18+1</f>
        <v>2</v>
      </c>
      <c r="G18" s="4" t="s">
        <v>14</v>
      </c>
      <c r="H18" s="8" t="s">
        <v>46</v>
      </c>
      <c r="I18" s="4" t="s">
        <v>15</v>
      </c>
      <c r="J18" s="9" t="s">
        <v>52</v>
      </c>
    </row>
    <row r="19" customFormat="false" ht="23.85" hidden="false" customHeight="false" outlineLevel="0" collapsed="false">
      <c r="A19" s="4" t="n">
        <v>15</v>
      </c>
      <c r="B19" s="10" t="s">
        <v>36</v>
      </c>
      <c r="C19" s="6" t="s">
        <v>53</v>
      </c>
      <c r="D19" s="7" t="n">
        <v>46259</v>
      </c>
      <c r="E19" s="7" t="n">
        <v>46259</v>
      </c>
      <c r="F19" s="4" t="n">
        <f aca="false">E19-D19+1</f>
        <v>1</v>
      </c>
      <c r="G19" s="4" t="s">
        <v>14</v>
      </c>
      <c r="H19" s="8" t="s">
        <v>54</v>
      </c>
      <c r="I19" s="4" t="s">
        <v>15</v>
      </c>
      <c r="J19" s="9" t="s">
        <v>55</v>
      </c>
    </row>
    <row r="20" customFormat="false" ht="15" hidden="false" customHeight="false" outlineLevel="0" collapsed="false">
      <c r="A20" s="4" t="n">
        <v>16</v>
      </c>
      <c r="B20" s="10" t="s">
        <v>36</v>
      </c>
      <c r="C20" s="11" t="s">
        <v>56</v>
      </c>
      <c r="D20" s="7" t="n">
        <v>46260</v>
      </c>
      <c r="E20" s="7" t="n">
        <v>46262</v>
      </c>
      <c r="F20" s="4" t="n">
        <f aca="false">E20-D20+1</f>
        <v>3</v>
      </c>
      <c r="G20" s="4" t="s">
        <v>14</v>
      </c>
      <c r="H20" s="8" t="s">
        <v>57</v>
      </c>
      <c r="I20" s="4" t="s">
        <v>15</v>
      </c>
      <c r="J20" s="9" t="s">
        <v>58</v>
      </c>
    </row>
    <row r="21" customFormat="false" ht="23.85" hidden="false" customHeight="false" outlineLevel="0" collapsed="false">
      <c r="A21" s="4" t="n">
        <v>17</v>
      </c>
      <c r="B21" s="12" t="s">
        <v>59</v>
      </c>
      <c r="C21" s="6" t="s">
        <v>60</v>
      </c>
      <c r="D21" s="7" t="n">
        <v>46259</v>
      </c>
      <c r="E21" s="7" t="n">
        <v>46260</v>
      </c>
      <c r="F21" s="4" t="n">
        <f aca="false">E21-D21+1</f>
        <v>2</v>
      </c>
      <c r="G21" s="4" t="s">
        <v>14</v>
      </c>
      <c r="H21" s="8" t="s">
        <v>41</v>
      </c>
      <c r="I21" s="4" t="s">
        <v>22</v>
      </c>
      <c r="J21" s="9" t="s">
        <v>61</v>
      </c>
    </row>
    <row r="22" customFormat="false" ht="23.85" hidden="false" customHeight="false" outlineLevel="0" collapsed="false">
      <c r="A22" s="4" t="n">
        <v>18</v>
      </c>
      <c r="B22" s="12" t="s">
        <v>59</v>
      </c>
      <c r="C22" s="6" t="s">
        <v>62</v>
      </c>
      <c r="D22" s="7" t="n">
        <v>46260</v>
      </c>
      <c r="E22" s="7" t="n">
        <v>46261</v>
      </c>
      <c r="F22" s="4" t="n">
        <f aca="false">E22-D22+1</f>
        <v>2</v>
      </c>
      <c r="G22" s="4" t="s">
        <v>14</v>
      </c>
      <c r="H22" s="8" t="s">
        <v>63</v>
      </c>
      <c r="I22" s="4" t="s">
        <v>15</v>
      </c>
      <c r="J22" s="9" t="s">
        <v>64</v>
      </c>
    </row>
    <row r="23" customFormat="false" ht="15" hidden="false" customHeight="false" outlineLevel="0" collapsed="false">
      <c r="A23" s="4" t="n">
        <v>19</v>
      </c>
      <c r="B23" s="12" t="s">
        <v>59</v>
      </c>
      <c r="C23" s="6" t="s">
        <v>65</v>
      </c>
      <c r="D23" s="7" t="n">
        <v>46261</v>
      </c>
      <c r="E23" s="7" t="n">
        <v>46263</v>
      </c>
      <c r="F23" s="4" t="n">
        <f aca="false">E23-D23+1</f>
        <v>3</v>
      </c>
      <c r="G23" s="4" t="s">
        <v>14</v>
      </c>
      <c r="H23" s="8" t="s">
        <v>66</v>
      </c>
      <c r="I23" s="4" t="s">
        <v>28</v>
      </c>
      <c r="J23" s="9" t="s">
        <v>67</v>
      </c>
    </row>
    <row r="24" customFormat="false" ht="15" hidden="false" customHeight="false" outlineLevel="0" collapsed="false">
      <c r="A24" s="4" t="n">
        <v>20</v>
      </c>
      <c r="B24" s="12" t="s">
        <v>59</v>
      </c>
      <c r="C24" s="6" t="s">
        <v>68</v>
      </c>
      <c r="D24" s="7" t="n">
        <v>46262</v>
      </c>
      <c r="E24" s="7" t="n">
        <v>46263</v>
      </c>
      <c r="F24" s="4" t="n">
        <f aca="false">E24-D24+1</f>
        <v>2</v>
      </c>
      <c r="G24" s="4" t="s">
        <v>14</v>
      </c>
      <c r="H24" s="8" t="s">
        <v>69</v>
      </c>
      <c r="I24" s="4" t="s">
        <v>34</v>
      </c>
      <c r="J24" s="9" t="s">
        <v>70</v>
      </c>
    </row>
    <row r="25" customFormat="false" ht="15" hidden="false" customHeight="false" outlineLevel="0" collapsed="false">
      <c r="A25" s="4" t="n">
        <v>21</v>
      </c>
      <c r="B25" s="12" t="s">
        <v>59</v>
      </c>
      <c r="C25" s="6" t="s">
        <v>71</v>
      </c>
      <c r="D25" s="7" t="n">
        <v>46263</v>
      </c>
      <c r="E25" s="7" t="n">
        <v>46265</v>
      </c>
      <c r="F25" s="4" t="n">
        <f aca="false">E25-D25+1</f>
        <v>3</v>
      </c>
      <c r="G25" s="4" t="s">
        <v>14</v>
      </c>
      <c r="H25" s="8" t="s">
        <v>72</v>
      </c>
      <c r="I25" s="4" t="s">
        <v>15</v>
      </c>
      <c r="J25" s="9" t="s">
        <v>73</v>
      </c>
    </row>
    <row r="26" customFormat="false" ht="15" hidden="false" customHeight="false" outlineLevel="0" collapsed="false">
      <c r="A26" s="4" t="n">
        <v>22</v>
      </c>
      <c r="B26" s="12" t="s">
        <v>59</v>
      </c>
      <c r="C26" s="6" t="s">
        <v>74</v>
      </c>
      <c r="D26" s="7" t="n">
        <v>46264</v>
      </c>
      <c r="E26" s="7" t="n">
        <v>46265</v>
      </c>
      <c r="F26" s="4" t="n">
        <f aca="false">E26-D26+1</f>
        <v>2</v>
      </c>
      <c r="G26" s="4" t="s">
        <v>14</v>
      </c>
      <c r="H26" s="8" t="s">
        <v>75</v>
      </c>
      <c r="I26" s="4" t="s">
        <v>38</v>
      </c>
      <c r="J26" s="9" t="s">
        <v>76</v>
      </c>
    </row>
    <row r="27" customFormat="false" ht="15" hidden="false" customHeight="false" outlineLevel="0" collapsed="false">
      <c r="A27" s="4" t="n">
        <v>23</v>
      </c>
      <c r="B27" s="13" t="s">
        <v>77</v>
      </c>
      <c r="C27" s="6" t="s">
        <v>78</v>
      </c>
      <c r="D27" s="7" t="n">
        <v>46265</v>
      </c>
      <c r="E27" s="7" t="n">
        <v>46266</v>
      </c>
      <c r="F27" s="4" t="n">
        <f aca="false">E27-D27+1</f>
        <v>2</v>
      </c>
      <c r="G27" s="4" t="s">
        <v>14</v>
      </c>
      <c r="H27" s="8" t="s">
        <v>79</v>
      </c>
      <c r="I27" s="4" t="s">
        <v>15</v>
      </c>
      <c r="J27" s="9" t="s">
        <v>80</v>
      </c>
    </row>
    <row r="28" customFormat="false" ht="15" hidden="false" customHeight="false" outlineLevel="0" collapsed="false">
      <c r="A28" s="4" t="n">
        <v>24</v>
      </c>
      <c r="B28" s="13" t="s">
        <v>77</v>
      </c>
      <c r="C28" s="6" t="s">
        <v>81</v>
      </c>
      <c r="D28" s="7" t="n">
        <v>46266</v>
      </c>
      <c r="E28" s="7" t="n">
        <v>46267</v>
      </c>
      <c r="F28" s="4" t="n">
        <f aca="false">E28-D28+1</f>
        <v>2</v>
      </c>
      <c r="G28" s="4" t="s">
        <v>14</v>
      </c>
      <c r="H28" s="8" t="s">
        <v>82</v>
      </c>
      <c r="I28" s="4" t="s">
        <v>22</v>
      </c>
      <c r="J28" s="9" t="s">
        <v>83</v>
      </c>
    </row>
    <row r="29" customFormat="false" ht="15" hidden="false" customHeight="false" outlineLevel="0" collapsed="false">
      <c r="A29" s="4" t="n">
        <v>25</v>
      </c>
      <c r="B29" s="13" t="s">
        <v>77</v>
      </c>
      <c r="C29" s="6" t="s">
        <v>84</v>
      </c>
      <c r="D29" s="7" t="n">
        <v>46267</v>
      </c>
      <c r="E29" s="7" t="n">
        <v>46267</v>
      </c>
      <c r="F29" s="4" t="n">
        <f aca="false">E29-D29+1</f>
        <v>1</v>
      </c>
      <c r="G29" s="4" t="s">
        <v>14</v>
      </c>
      <c r="H29" s="8" t="s">
        <v>85</v>
      </c>
      <c r="I29" s="4" t="s">
        <v>28</v>
      </c>
      <c r="J29" s="9" t="s">
        <v>86</v>
      </c>
    </row>
    <row r="30" customFormat="false" ht="15" hidden="false" customHeight="false" outlineLevel="0" collapsed="false">
      <c r="A30" s="4" t="n">
        <v>26</v>
      </c>
      <c r="B30" s="13" t="s">
        <v>77</v>
      </c>
      <c r="C30" s="6" t="s">
        <v>87</v>
      </c>
      <c r="D30" s="7" t="n">
        <v>46267</v>
      </c>
      <c r="E30" s="7" t="n">
        <v>46267</v>
      </c>
      <c r="F30" s="4" t="n">
        <f aca="false">E30-D30+1</f>
        <v>1</v>
      </c>
      <c r="G30" s="4" t="s">
        <v>14</v>
      </c>
      <c r="H30" s="8" t="s">
        <v>88</v>
      </c>
      <c r="I30" s="4" t="s">
        <v>28</v>
      </c>
      <c r="J30" s="9" t="s">
        <v>89</v>
      </c>
    </row>
    <row r="31" customFormat="false" ht="15" hidden="false" customHeight="false" outlineLevel="0" collapsed="false">
      <c r="A31" s="4" t="n">
        <v>27</v>
      </c>
      <c r="B31" s="14" t="s">
        <v>90</v>
      </c>
      <c r="C31" s="6" t="s">
        <v>91</v>
      </c>
      <c r="D31" s="7" t="n">
        <v>46266</v>
      </c>
      <c r="E31" s="7" t="n">
        <v>46266</v>
      </c>
      <c r="F31" s="4" t="n">
        <f aca="false">E31-D31+1</f>
        <v>1</v>
      </c>
      <c r="G31" s="4" t="s">
        <v>14</v>
      </c>
      <c r="H31" s="8" t="s">
        <v>92</v>
      </c>
      <c r="I31" s="4" t="s">
        <v>15</v>
      </c>
      <c r="J31" s="9" t="s">
        <v>93</v>
      </c>
    </row>
    <row r="32" customFormat="false" ht="15" hidden="false" customHeight="false" outlineLevel="0" collapsed="false">
      <c r="A32" s="4" t="n">
        <v>28</v>
      </c>
      <c r="B32" s="14" t="s">
        <v>90</v>
      </c>
      <c r="C32" s="6" t="s">
        <v>94</v>
      </c>
      <c r="D32" s="7" t="n">
        <v>46266</v>
      </c>
      <c r="E32" s="7" t="n">
        <v>46266</v>
      </c>
      <c r="F32" s="4" t="n">
        <f aca="false">E32-D32+1</f>
        <v>1</v>
      </c>
      <c r="G32" s="4" t="s">
        <v>14</v>
      </c>
      <c r="H32" s="8" t="s">
        <v>95</v>
      </c>
      <c r="I32" s="4" t="s">
        <v>15</v>
      </c>
      <c r="J32" s="9" t="s">
        <v>96</v>
      </c>
    </row>
    <row r="33" customFormat="false" ht="15" hidden="false" customHeight="false" outlineLevel="0" collapsed="false">
      <c r="A33" s="4" t="n">
        <v>29</v>
      </c>
      <c r="B33" s="14" t="s">
        <v>90</v>
      </c>
      <c r="C33" s="11" t="s">
        <v>97</v>
      </c>
      <c r="D33" s="7" t="n">
        <v>46267</v>
      </c>
      <c r="E33" s="7" t="n">
        <v>46267</v>
      </c>
      <c r="F33" s="4" t="n">
        <f aca="false">E33-D33+1</f>
        <v>1</v>
      </c>
      <c r="G33" s="4" t="s">
        <v>14</v>
      </c>
      <c r="H33" s="8" t="s">
        <v>98</v>
      </c>
      <c r="I33" s="4" t="s">
        <v>15</v>
      </c>
      <c r="J33" s="9" t="s">
        <v>99</v>
      </c>
    </row>
    <row r="34" customFormat="false" ht="15" hidden="false" customHeight="false" outlineLevel="0" collapsed="false">
      <c r="A34" s="4" t="n">
        <v>30</v>
      </c>
      <c r="B34" s="14" t="s">
        <v>90</v>
      </c>
      <c r="C34" s="6" t="s">
        <v>100</v>
      </c>
      <c r="D34" s="7" t="n">
        <v>46267</v>
      </c>
      <c r="E34" s="7" t="n">
        <v>46267</v>
      </c>
      <c r="F34" s="4" t="n">
        <f aca="false">E34-D34+1</f>
        <v>1</v>
      </c>
      <c r="G34" s="4" t="s">
        <v>14</v>
      </c>
      <c r="H34" s="8" t="s">
        <v>101</v>
      </c>
      <c r="I34" s="4" t="s">
        <v>15</v>
      </c>
      <c r="J34" s="9" t="s">
        <v>102</v>
      </c>
    </row>
    <row r="35" customFormat="false" ht="15" hidden="false" customHeight="false" outlineLevel="0" collapsed="false">
      <c r="A35" s="4" t="n">
        <v>31</v>
      </c>
      <c r="B35" s="14" t="s">
        <v>90</v>
      </c>
      <c r="C35" s="6" t="s">
        <v>103</v>
      </c>
      <c r="D35" s="7" t="n">
        <v>46268</v>
      </c>
      <c r="E35" s="7" t="n">
        <v>46268</v>
      </c>
      <c r="F35" s="4" t="n">
        <f aca="false">E35-D35+1</f>
        <v>1</v>
      </c>
      <c r="G35" s="4" t="s">
        <v>14</v>
      </c>
      <c r="H35" s="8" t="s">
        <v>104</v>
      </c>
      <c r="I35" s="4" t="s">
        <v>15</v>
      </c>
      <c r="J35" s="9" t="s">
        <v>105</v>
      </c>
    </row>
    <row r="36" customFormat="false" ht="15" hidden="false" customHeight="false" outlineLevel="0" collapsed="false">
      <c r="A36" s="4" t="n">
        <v>32</v>
      </c>
      <c r="B36" s="14" t="s">
        <v>90</v>
      </c>
      <c r="C36" s="6" t="s">
        <v>106</v>
      </c>
      <c r="D36" s="7" t="n">
        <v>46268</v>
      </c>
      <c r="E36" s="7" t="n">
        <v>46273</v>
      </c>
      <c r="F36" s="4" t="n">
        <f aca="false">E36-D36+1</f>
        <v>6</v>
      </c>
      <c r="G36" s="4" t="s">
        <v>14</v>
      </c>
      <c r="H36" s="8" t="s">
        <v>107</v>
      </c>
      <c r="I36" s="4" t="s">
        <v>108</v>
      </c>
      <c r="J36" s="9" t="s">
        <v>109</v>
      </c>
    </row>
    <row r="37" customFormat="false" ht="15" hidden="false" customHeight="false" outlineLevel="0" collapsed="false">
      <c r="A37" s="4" t="n">
        <v>33</v>
      </c>
      <c r="B37" s="14" t="s">
        <v>90</v>
      </c>
      <c r="C37" s="6" t="s">
        <v>110</v>
      </c>
      <c r="D37" s="7" t="n">
        <v>46270</v>
      </c>
      <c r="E37" s="7" t="n">
        <v>46271</v>
      </c>
      <c r="F37" s="4" t="n">
        <f aca="false">E37-D37+1</f>
        <v>2</v>
      </c>
      <c r="G37" s="4" t="s">
        <v>14</v>
      </c>
      <c r="H37" s="8" t="s">
        <v>111</v>
      </c>
      <c r="I37" s="4" t="s">
        <v>15</v>
      </c>
      <c r="J37" s="9" t="s">
        <v>112</v>
      </c>
    </row>
    <row r="38" customFormat="false" ht="15" hidden="false" customHeight="false" outlineLevel="0" collapsed="false">
      <c r="A38" s="4" t="n">
        <v>34</v>
      </c>
      <c r="B38" s="14" t="s">
        <v>90</v>
      </c>
      <c r="C38" s="6" t="s">
        <v>113</v>
      </c>
      <c r="D38" s="7" t="n">
        <v>46269</v>
      </c>
      <c r="E38" s="7" t="n">
        <v>46269</v>
      </c>
      <c r="F38" s="4" t="n">
        <f aca="false">E38-D38+1</f>
        <v>1</v>
      </c>
      <c r="G38" s="4" t="s">
        <v>14</v>
      </c>
      <c r="H38" s="8" t="s">
        <v>114</v>
      </c>
      <c r="I38" s="4" t="s">
        <v>22</v>
      </c>
      <c r="J38" s="9" t="s">
        <v>115</v>
      </c>
    </row>
    <row r="39" customFormat="false" ht="15" hidden="false" customHeight="false" outlineLevel="0" collapsed="false">
      <c r="A39" s="4" t="n">
        <v>35</v>
      </c>
      <c r="B39" s="15" t="s">
        <v>116</v>
      </c>
      <c r="C39" s="6" t="s">
        <v>117</v>
      </c>
      <c r="D39" s="7" t="n">
        <v>46274</v>
      </c>
      <c r="E39" s="7" t="n">
        <v>46274</v>
      </c>
      <c r="F39" s="4" t="n">
        <f aca="false">E39-D39+1</f>
        <v>1</v>
      </c>
      <c r="G39" s="4" t="s">
        <v>14</v>
      </c>
      <c r="H39" s="8" t="s">
        <v>118</v>
      </c>
      <c r="I39" s="4" t="s">
        <v>119</v>
      </c>
      <c r="J39" s="9" t="s">
        <v>120</v>
      </c>
    </row>
  </sheetData>
  <autoFilter ref="A4:J39"/>
  <conditionalFormatting sqref="G5:G39">
    <cfRule type="cellIs" priority="2" operator="equal" aboveAverage="0" equalAverage="0" bottom="0" percent="0" rank="0" text="" dxfId="11">
      <formula>"Done"</formula>
    </cfRule>
    <cfRule type="cellIs" priority="3" operator="equal" aboveAverage="0" equalAverage="0" bottom="0" percent="0" rank="0" text="" dxfId="12">
      <formula>"Blocked"</formula>
    </cfRule>
    <cfRule type="cellIs" priority="4" operator="equal" aboveAverage="0" equalAverage="0" bottom="0" percent="0" rank="0" text="" dxfId="13">
      <formula>"In progress"</formula>
    </cfRule>
    <cfRule type="cellIs" priority="5" operator="equal" aboveAverage="0" equalAverage="0" bottom="0" percent="0" rank="0" text="" dxfId="14">
      <formula>"Cut"</formula>
    </cfRule>
  </conditionalFormatting>
  <conditionalFormatting sqref="I5:I39">
    <cfRule type="cellIs" priority="6" operator="equal" aboveAverage="0" equalAverage="0" bottom="0" percent="0" rank="0" text="" dxfId="15">
      <formula>"Blocker"</formula>
    </cfRule>
  </conditionalFormatting>
  <dataValidations count="1">
    <dataValidation allowBlank="true" errorStyle="stop" operator="between" showDropDown="false" showErrorMessage="false" showInputMessage="false" sqref="G5:G39" type="list">
      <formula1>"Not started,In progress,Blocked,Done,Cut"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66"/>
    <col collapsed="false" customWidth="true" hidden="false" outlineLevel="0" max="4" min="4" style="0" width="8"/>
  </cols>
  <sheetData>
    <row r="1" customFormat="false" ht="17.35" hidden="false" customHeight="false" outlineLevel="0" collapsed="false">
      <c r="A1" s="1" t="s">
        <v>121</v>
      </c>
    </row>
    <row r="3" customFormat="false" ht="15" hidden="false" customHeight="false" outlineLevel="0" collapsed="false">
      <c r="A3" s="16" t="s">
        <v>122</v>
      </c>
    </row>
    <row r="4" customFormat="false" ht="15" hidden="false" customHeight="false" outlineLevel="0" collapsed="false">
      <c r="A4" s="17" t="s">
        <v>123</v>
      </c>
      <c r="B4" s="18" t="n">
        <f aca="false">COUNTA('Build Plan'!A5:A39)</f>
        <v>35</v>
      </c>
    </row>
    <row r="5" customFormat="false" ht="15" hidden="false" customHeight="false" outlineLevel="0" collapsed="false">
      <c r="A5" s="17" t="s">
        <v>124</v>
      </c>
      <c r="B5" s="18" t="n">
        <f aca="false">COUNTIF('Build Plan'!G5:G39,"Done")</f>
        <v>0</v>
      </c>
    </row>
    <row r="6" customFormat="false" ht="15" hidden="false" customHeight="false" outlineLevel="0" collapsed="false">
      <c r="A6" s="17" t="s">
        <v>125</v>
      </c>
      <c r="B6" s="18" t="n">
        <f aca="false">COUNTIF('Build Plan'!G5:G39,"In progress")</f>
        <v>0</v>
      </c>
    </row>
    <row r="7" customFormat="false" ht="15" hidden="false" customHeight="false" outlineLevel="0" collapsed="false">
      <c r="A7" s="17" t="s">
        <v>126</v>
      </c>
      <c r="B7" s="18" t="n">
        <f aca="false">COUNTIF('Build Plan'!G5:G39,"Blocked")</f>
        <v>0</v>
      </c>
    </row>
    <row r="8" customFormat="false" ht="15" hidden="false" customHeight="false" outlineLevel="0" collapsed="false">
      <c r="A8" s="17" t="s">
        <v>14</v>
      </c>
      <c r="B8" s="18" t="n">
        <f aca="false">COUNTIF('Build Plan'!G5:G39,"Not started")</f>
        <v>35</v>
      </c>
    </row>
    <row r="9" customFormat="false" ht="15" hidden="false" customHeight="false" outlineLevel="0" collapsed="false">
      <c r="A9" s="17" t="s">
        <v>127</v>
      </c>
      <c r="B9" s="18" t="n">
        <f aca="false">COUNTIF('Build Plan'!G5:G39,"Cut")</f>
        <v>0</v>
      </c>
    </row>
    <row r="10" customFormat="false" ht="15" hidden="false" customHeight="false" outlineLevel="0" collapsed="false">
      <c r="A10" s="17" t="s">
        <v>128</v>
      </c>
      <c r="B10" s="19" t="n">
        <f aca="false">IFERROR(COUNTIF('Build Plan'!G5:G39,"Done")/COUNTA('Build Plan'!A5:A39),0)</f>
        <v>0</v>
      </c>
    </row>
    <row r="11" customFormat="false" ht="15" hidden="false" customHeight="false" outlineLevel="0" collapsed="false">
      <c r="A11" s="17" t="s">
        <v>129</v>
      </c>
      <c r="B11" s="18" t="n">
        <f aca="false">COUNTIFS('Build Plan'!I5:I39,"Blocker",'Build Plan'!G5:G39,"&lt;&gt;Done")</f>
        <v>23</v>
      </c>
    </row>
    <row r="12" customFormat="false" ht="15" hidden="false" customHeight="false" outlineLevel="0" collapsed="false">
      <c r="A12" s="17" t="s">
        <v>130</v>
      </c>
      <c r="B12" s="20" t="n">
        <f aca="true">DATE(2026,9,9)-TODAY()</f>
        <v>22</v>
      </c>
    </row>
    <row r="14" customFormat="false" ht="15" hidden="false" customHeight="false" outlineLevel="0" collapsed="false">
      <c r="A14" s="16" t="s">
        <v>131</v>
      </c>
    </row>
    <row r="15" customFormat="false" ht="15" hidden="false" customHeight="false" outlineLevel="0" collapsed="false">
      <c r="A15" s="3" t="s">
        <v>132</v>
      </c>
      <c r="B15" s="3" t="s">
        <v>133</v>
      </c>
      <c r="C15" s="3" t="s">
        <v>134</v>
      </c>
      <c r="D15" s="3" t="s">
        <v>135</v>
      </c>
    </row>
    <row r="16" customFormat="false" ht="15" hidden="false" customHeight="false" outlineLevel="0" collapsed="false">
      <c r="A16" s="7" t="n">
        <v>46255</v>
      </c>
      <c r="B16" s="8" t="s">
        <v>136</v>
      </c>
      <c r="C16" s="6" t="s">
        <v>137</v>
      </c>
      <c r="D16" s="4" t="s">
        <v>138</v>
      </c>
    </row>
    <row r="17" customFormat="false" ht="15" hidden="false" customHeight="false" outlineLevel="0" collapsed="false">
      <c r="A17" s="7" t="n">
        <v>46259</v>
      </c>
      <c r="B17" s="8" t="s">
        <v>139</v>
      </c>
      <c r="C17" s="6" t="s">
        <v>140</v>
      </c>
      <c r="D17" s="4" t="s">
        <v>138</v>
      </c>
    </row>
    <row r="18" customFormat="false" ht="15" hidden="false" customHeight="false" outlineLevel="0" collapsed="false">
      <c r="A18" s="7" t="n">
        <v>46263</v>
      </c>
      <c r="B18" s="8" t="s">
        <v>141</v>
      </c>
      <c r="C18" s="6" t="s">
        <v>142</v>
      </c>
      <c r="D18" s="4" t="s">
        <v>138</v>
      </c>
    </row>
    <row r="19" customFormat="false" ht="15" hidden="false" customHeight="false" outlineLevel="0" collapsed="false">
      <c r="A19" s="7" t="n">
        <v>46265</v>
      </c>
      <c r="B19" s="8" t="s">
        <v>143</v>
      </c>
      <c r="C19" s="6" t="s">
        <v>144</v>
      </c>
      <c r="D19" s="4" t="s">
        <v>138</v>
      </c>
    </row>
    <row r="20" customFormat="false" ht="15" hidden="false" customHeight="false" outlineLevel="0" collapsed="false">
      <c r="A20" s="7" t="n">
        <v>46266</v>
      </c>
      <c r="B20" s="8" t="s">
        <v>145</v>
      </c>
      <c r="C20" s="6" t="s">
        <v>146</v>
      </c>
      <c r="D20" s="4" t="s">
        <v>138</v>
      </c>
    </row>
    <row r="21" customFormat="false" ht="15" hidden="false" customHeight="false" outlineLevel="0" collapsed="false">
      <c r="A21" s="7" t="n">
        <v>46267</v>
      </c>
      <c r="B21" s="8" t="s">
        <v>147</v>
      </c>
      <c r="C21" s="6" t="s">
        <v>148</v>
      </c>
      <c r="D21" s="4" t="s">
        <v>138</v>
      </c>
    </row>
    <row r="22" customFormat="false" ht="15" hidden="false" customHeight="false" outlineLevel="0" collapsed="false">
      <c r="A22" s="7" t="n">
        <v>46271</v>
      </c>
      <c r="B22" s="8" t="s">
        <v>149</v>
      </c>
      <c r="C22" s="6" t="s">
        <v>150</v>
      </c>
      <c r="D22" s="4" t="s">
        <v>138</v>
      </c>
    </row>
    <row r="23" customFormat="false" ht="15" hidden="false" customHeight="false" outlineLevel="0" collapsed="false">
      <c r="A23" s="7" t="n">
        <v>46274</v>
      </c>
      <c r="B23" s="21" t="s">
        <v>151</v>
      </c>
      <c r="C23" s="6" t="s">
        <v>152</v>
      </c>
      <c r="D23" s="4" t="s">
        <v>138</v>
      </c>
    </row>
  </sheetData>
  <conditionalFormatting sqref="D16:D23">
    <cfRule type="cellIs" priority="2" operator="equal" aboveAverage="0" equalAverage="0" bottom="0" percent="0" rank="0" text="" dxfId="11">
      <formula>"Yes"</formula>
    </cfRule>
  </conditionalFormatting>
  <dataValidations count="1">
    <dataValidation allowBlank="true" errorStyle="stop" operator="between" showDropDown="false" showErrorMessage="false" showInputMessage="false" sqref="D16:D23" type="list">
      <formula1>"No,Yes"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92"/>
  </cols>
  <sheetData>
    <row r="1" customFormat="false" ht="17.35" hidden="false" customHeight="false" outlineLevel="0" collapsed="false">
      <c r="A1" s="1" t="s">
        <v>153</v>
      </c>
    </row>
    <row r="2" customFormat="false" ht="15" hidden="false" customHeight="false" outlineLevel="0" collapsed="false">
      <c r="A2" s="2" t="s">
        <v>154</v>
      </c>
    </row>
    <row r="4" customFormat="false" ht="15" hidden="false" customHeight="false" outlineLevel="0" collapsed="false">
      <c r="A4" s="3" t="s">
        <v>155</v>
      </c>
      <c r="B4" s="3" t="s">
        <v>156</v>
      </c>
      <c r="C4" s="3" t="s">
        <v>157</v>
      </c>
    </row>
    <row r="5" customFormat="false" ht="15" hidden="false" customHeight="false" outlineLevel="0" collapsed="false">
      <c r="A5" s="8" t="s">
        <v>158</v>
      </c>
      <c r="B5" s="8" t="s">
        <v>159</v>
      </c>
      <c r="C5" s="6" t="s">
        <v>160</v>
      </c>
    </row>
    <row r="6" customFormat="false" ht="15" hidden="false" customHeight="false" outlineLevel="0" collapsed="false">
      <c r="A6" s="8" t="s">
        <v>161</v>
      </c>
      <c r="B6" s="8" t="s">
        <v>162</v>
      </c>
      <c r="C6" s="6" t="s">
        <v>163</v>
      </c>
    </row>
    <row r="7" customFormat="false" ht="15" hidden="false" customHeight="false" outlineLevel="0" collapsed="false">
      <c r="A7" s="8" t="s">
        <v>164</v>
      </c>
      <c r="B7" s="8" t="s">
        <v>162</v>
      </c>
      <c r="C7" s="6" t="s">
        <v>165</v>
      </c>
    </row>
    <row r="8" customFormat="false" ht="15" hidden="false" customHeight="false" outlineLevel="0" collapsed="false">
      <c r="A8" s="8" t="s">
        <v>166</v>
      </c>
      <c r="B8" s="8" t="s">
        <v>167</v>
      </c>
      <c r="C8" s="6" t="s">
        <v>168</v>
      </c>
    </row>
    <row r="9" customFormat="false" ht="15" hidden="false" customHeight="false" outlineLevel="0" collapsed="false">
      <c r="A9" s="8" t="s">
        <v>169</v>
      </c>
      <c r="B9" s="8" t="s">
        <v>167</v>
      </c>
      <c r="C9" s="6" t="s">
        <v>170</v>
      </c>
    </row>
    <row r="10" customFormat="false" ht="15" hidden="false" customHeight="false" outlineLevel="0" collapsed="false">
      <c r="A10" s="8" t="s">
        <v>171</v>
      </c>
      <c r="B10" s="8" t="s">
        <v>172</v>
      </c>
      <c r="C10" s="6" t="s">
        <v>173</v>
      </c>
    </row>
    <row r="11" customFormat="false" ht="15" hidden="false" customHeight="false" outlineLevel="0" collapsed="false">
      <c r="A11" s="8" t="s">
        <v>174</v>
      </c>
      <c r="B11" s="8" t="s">
        <v>162</v>
      </c>
      <c r="C11" s="6" t="s">
        <v>175</v>
      </c>
    </row>
    <row r="12" customFormat="false" ht="15" hidden="false" customHeight="false" outlineLevel="0" collapsed="false">
      <c r="A12" s="8" t="s">
        <v>176</v>
      </c>
      <c r="B12" s="8" t="s">
        <v>177</v>
      </c>
      <c r="C12" s="6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3"/>
    <col collapsed="false" customWidth="true" hidden="false" outlineLevel="0" max="3" min="3" style="0" width="42"/>
    <col collapsed="false" customWidth="true" hidden="false" outlineLevel="0" max="4" min="4" style="0" width="82"/>
  </cols>
  <sheetData>
    <row r="1" customFormat="false" ht="17.35" hidden="false" customHeight="false" outlineLevel="0" collapsed="false">
      <c r="A1" s="1" t="s">
        <v>179</v>
      </c>
    </row>
    <row r="3" customFormat="false" ht="15" hidden="false" customHeight="false" outlineLevel="0" collapsed="false">
      <c r="A3" s="3" t="s">
        <v>180</v>
      </c>
      <c r="B3" s="3" t="s">
        <v>181</v>
      </c>
      <c r="C3" s="3" t="s">
        <v>182</v>
      </c>
      <c r="D3" s="3" t="s">
        <v>183</v>
      </c>
    </row>
    <row r="4" customFormat="false" ht="15" hidden="false" customHeight="false" outlineLevel="0" collapsed="false">
      <c r="A4" s="8" t="s">
        <v>184</v>
      </c>
      <c r="B4" s="4" t="s">
        <v>185</v>
      </c>
      <c r="C4" s="6" t="s">
        <v>186</v>
      </c>
      <c r="D4" s="6" t="s">
        <v>187</v>
      </c>
    </row>
    <row r="5" customFormat="false" ht="15" hidden="false" customHeight="false" outlineLevel="0" collapsed="false">
      <c r="A5" s="8" t="s">
        <v>188</v>
      </c>
      <c r="B5" s="4" t="s">
        <v>189</v>
      </c>
      <c r="C5" s="6" t="s">
        <v>190</v>
      </c>
      <c r="D5" s="6" t="s">
        <v>191</v>
      </c>
    </row>
    <row r="6" customFormat="false" ht="15" hidden="false" customHeight="false" outlineLevel="0" collapsed="false">
      <c r="A6" s="8" t="s">
        <v>192</v>
      </c>
      <c r="B6" s="4" t="s">
        <v>185</v>
      </c>
      <c r="C6" s="6" t="s">
        <v>193</v>
      </c>
      <c r="D6" s="6" t="s">
        <v>194</v>
      </c>
    </row>
    <row r="7" customFormat="false" ht="15" hidden="false" customHeight="false" outlineLevel="0" collapsed="false">
      <c r="A7" s="8" t="s">
        <v>195</v>
      </c>
      <c r="B7" s="4" t="s">
        <v>189</v>
      </c>
      <c r="C7" s="6" t="s">
        <v>196</v>
      </c>
      <c r="D7" s="6" t="s">
        <v>197</v>
      </c>
    </row>
    <row r="8" customFormat="false" ht="15" hidden="false" customHeight="false" outlineLevel="0" collapsed="false">
      <c r="A8" s="8" t="s">
        <v>198</v>
      </c>
      <c r="B8" s="4" t="s">
        <v>199</v>
      </c>
      <c r="C8" s="6" t="s">
        <v>200</v>
      </c>
      <c r="D8" s="6" t="s">
        <v>201</v>
      </c>
    </row>
    <row r="9" customFormat="false" ht="15" hidden="false" customHeight="false" outlineLevel="0" collapsed="false">
      <c r="A9" s="8" t="s">
        <v>202</v>
      </c>
      <c r="B9" s="4" t="s">
        <v>199</v>
      </c>
      <c r="C9" s="6" t="s">
        <v>203</v>
      </c>
      <c r="D9" s="6" t="s">
        <v>204</v>
      </c>
    </row>
    <row r="10" customFormat="false" ht="15" hidden="false" customHeight="false" outlineLevel="0" collapsed="false">
      <c r="A10" s="8" t="s">
        <v>205</v>
      </c>
      <c r="B10" s="4" t="s">
        <v>206</v>
      </c>
      <c r="C10" s="6" t="s">
        <v>207</v>
      </c>
      <c r="D10" s="6" t="s">
        <v>208</v>
      </c>
    </row>
    <row r="11" customFormat="false" ht="15" hidden="false" customHeight="false" outlineLevel="0" collapsed="false">
      <c r="A11" s="8" t="s">
        <v>209</v>
      </c>
      <c r="B11" s="4" t="s">
        <v>199</v>
      </c>
      <c r="C11" s="6" t="s">
        <v>210</v>
      </c>
      <c r="D11" s="6" t="s">
        <v>211</v>
      </c>
    </row>
  </sheetData>
  <conditionalFormatting sqref="B4:B11">
    <cfRule type="cellIs" priority="2" operator="equal" aboveAverage="0" equalAverage="0" bottom="0" percent="0" rank="0" text="" dxfId="12">
      <formula>"Certain"</formula>
    </cfRule>
    <cfRule type="cellIs" priority="3" operator="equal" aboveAverage="0" equalAverage="0" bottom="0" percent="0" rank="0" text="" dxfId="16">
      <formula>"High"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3"/>
    <col collapsed="false" customWidth="true" hidden="false" outlineLevel="0" max="3" min="3" style="0" width="100"/>
  </cols>
  <sheetData>
    <row r="1" customFormat="false" ht="17.35" hidden="false" customHeight="false" outlineLevel="0" collapsed="false">
      <c r="A1" s="1" t="s">
        <v>212</v>
      </c>
    </row>
    <row r="3" customFormat="false" ht="15" hidden="false" customHeight="false" outlineLevel="0" collapsed="false">
      <c r="A3" s="3" t="s">
        <v>213</v>
      </c>
      <c r="B3" s="3" t="s">
        <v>8</v>
      </c>
      <c r="C3" s="3" t="s">
        <v>214</v>
      </c>
    </row>
    <row r="4" customFormat="false" ht="23.85" hidden="false" customHeight="false" outlineLevel="0" collapsed="false">
      <c r="A4" s="6" t="s">
        <v>215</v>
      </c>
      <c r="B4" s="22" t="s">
        <v>216</v>
      </c>
      <c r="C4" s="6" t="s">
        <v>217</v>
      </c>
    </row>
    <row r="5" customFormat="false" ht="15" hidden="false" customHeight="false" outlineLevel="0" collapsed="false">
      <c r="A5" s="6" t="s">
        <v>218</v>
      </c>
      <c r="B5" s="22" t="s">
        <v>216</v>
      </c>
      <c r="C5" s="6" t="s">
        <v>219</v>
      </c>
    </row>
    <row r="6" customFormat="false" ht="15" hidden="false" customHeight="false" outlineLevel="0" collapsed="false">
      <c r="A6" s="6" t="s">
        <v>220</v>
      </c>
      <c r="B6" s="22" t="s">
        <v>216</v>
      </c>
      <c r="C6" s="6" t="s">
        <v>221</v>
      </c>
    </row>
    <row r="7" customFormat="false" ht="15" hidden="false" customHeight="false" outlineLevel="0" collapsed="false">
      <c r="A7" s="6" t="s">
        <v>222</v>
      </c>
      <c r="B7" s="22" t="s">
        <v>223</v>
      </c>
      <c r="C7" s="6" t="s">
        <v>224</v>
      </c>
    </row>
    <row r="8" customFormat="false" ht="15" hidden="false" customHeight="false" outlineLevel="0" collapsed="false">
      <c r="A8" s="6" t="s">
        <v>225</v>
      </c>
      <c r="B8" s="22" t="s">
        <v>216</v>
      </c>
      <c r="C8" s="6" t="s">
        <v>226</v>
      </c>
    </row>
    <row r="9" customFormat="false" ht="15" hidden="false" customHeight="false" outlineLevel="0" collapsed="false">
      <c r="A9" s="6" t="s">
        <v>227</v>
      </c>
      <c r="B9" s="22" t="s">
        <v>216</v>
      </c>
      <c r="C9" s="6" t="s">
        <v>228</v>
      </c>
    </row>
    <row r="10" customFormat="false" ht="15" hidden="false" customHeight="false" outlineLevel="0" collapsed="false">
      <c r="A10" s="6" t="s">
        <v>229</v>
      </c>
      <c r="B10" s="22" t="s">
        <v>216</v>
      </c>
      <c r="C10" s="6" t="s">
        <v>230</v>
      </c>
    </row>
    <row r="11" customFormat="false" ht="23.85" hidden="false" customHeight="false" outlineLevel="0" collapsed="false">
      <c r="A11" s="6" t="s">
        <v>231</v>
      </c>
      <c r="B11" s="22" t="s">
        <v>232</v>
      </c>
      <c r="C11" s="6" t="s">
        <v>233</v>
      </c>
    </row>
    <row r="12" customFormat="false" ht="15" hidden="false" customHeight="false" outlineLevel="0" collapsed="false">
      <c r="A12" s="6" t="s">
        <v>234</v>
      </c>
      <c r="B12" s="22" t="s">
        <v>232</v>
      </c>
      <c r="C12" s="6" t="s">
        <v>235</v>
      </c>
    </row>
  </sheetData>
  <conditionalFormatting sqref="B4:B12">
    <cfRule type="cellIs" priority="2" operator="equal" aboveAverage="0" equalAverage="0" bottom="0" percent="0" rank="0" text="" dxfId="17">
      <formula>"OPEN"</formula>
    </cfRule>
    <cfRule type="cellIs" priority="3" operator="equal" aboveAverage="0" equalAverage="0" bottom="0" percent="0" rank="0" text="" dxfId="18">
      <formula>"LOCKED"</formula>
    </cfRule>
    <cfRule type="cellIs" priority="4" operator="equal" aboveAverage="0" equalAverage="0" bottom="0" percent="0" rank="0" text="" dxfId="19">
      <formula>"PROPOSED"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2026-08-18T00:08:37Z</dcterms:created>
  <dc:creator>openpyxl</dc:creator>
  <dc:description/>
  <dc:language>en-US</dc:language>
  <cp:lastModifiedBy/>
  <dcterms:modified xsi:type="dcterms:W3CDTF">2026-08-18T00:08:37Z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